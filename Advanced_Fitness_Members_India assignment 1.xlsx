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W Skills\Excel\"/>
    </mc:Choice>
  </mc:AlternateContent>
  <xr:revisionPtr revIDLastSave="0" documentId="8_{5A5C81C1-57E9-4DBF-A253-D277135900D6}" xr6:coauthVersionLast="47" xr6:coauthVersionMax="47" xr10:uidLastSave="{00000000-0000-0000-0000-000000000000}"/>
  <bookViews>
    <workbookView xWindow="-132" yWindow="-132" windowWidth="23304" windowHeight="12504" xr2:uid="{00000000-000D-0000-FFFF-FFFF00000000}"/>
  </bookViews>
  <sheets>
    <sheet name="Dashboard" sheetId="5" r:id="rId1"/>
    <sheet name="Sheet1" sheetId="1" r:id="rId2"/>
    <sheet name="Segment Profitability Dashboard" sheetId="8" r:id="rId3"/>
    <sheet name="Referral Impact" sheetId="6" r:id="rId4"/>
    <sheet name="Total Revenue" sheetId="7" r:id="rId5"/>
  </sheets>
  <definedNames>
    <definedName name="Slicer_City2">#N/A</definedName>
    <definedName name="Slicer_Membership_Type2">#N/A</definedName>
    <definedName name="Slicer_REFERRED2">#N/A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GJwS0+B45xNQM+LKEkjyJlcr0UGtKlsJIMlgA/KehTo="/>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L12" i="1"/>
  <c r="N12" i="1" s="1"/>
  <c r="N7" i="1"/>
  <c r="N8" i="1"/>
  <c r="N9" i="1"/>
  <c r="N10" i="1"/>
  <c r="N11" i="1"/>
  <c r="N13" i="1"/>
  <c r="N19" i="1"/>
  <c r="N20" i="1"/>
  <c r="N21" i="1"/>
  <c r="N22" i="1"/>
  <c r="N23" i="1"/>
  <c r="N24" i="1"/>
  <c r="N25" i="1"/>
  <c r="N31" i="1"/>
  <c r="N32" i="1"/>
  <c r="N33" i="1"/>
  <c r="N34" i="1"/>
  <c r="N35" i="1"/>
  <c r="N36"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L2" i="1"/>
  <c r="N2" i="1" s="1"/>
  <c r="L3" i="1"/>
  <c r="N3" i="1" s="1"/>
  <c r="L4" i="1"/>
  <c r="N4" i="1" s="1"/>
  <c r="L5" i="1"/>
  <c r="N5" i="1" s="1"/>
  <c r="L6" i="1"/>
  <c r="N6" i="1" s="1"/>
  <c r="L7" i="1"/>
  <c r="L8" i="1"/>
  <c r="L9" i="1"/>
  <c r="L10" i="1"/>
  <c r="L11" i="1"/>
  <c r="L13" i="1"/>
  <c r="L14" i="1"/>
  <c r="N14" i="1" s="1"/>
  <c r="L15" i="1"/>
  <c r="N15" i="1" s="1"/>
  <c r="L16" i="1"/>
  <c r="N16" i="1" s="1"/>
  <c r="L17" i="1"/>
  <c r="N17" i="1" s="1"/>
  <c r="L18" i="1"/>
  <c r="N18" i="1" s="1"/>
  <c r="L19" i="1"/>
  <c r="L20" i="1"/>
  <c r="L21" i="1"/>
  <c r="L22" i="1"/>
  <c r="L23" i="1"/>
  <c r="L24" i="1"/>
  <c r="L25" i="1"/>
  <c r="L26" i="1"/>
  <c r="N26" i="1" s="1"/>
  <c r="L27" i="1"/>
  <c r="N27" i="1" s="1"/>
  <c r="L28" i="1"/>
  <c r="N28" i="1" s="1"/>
  <c r="L29" i="1"/>
  <c r="N29" i="1" s="1"/>
  <c r="L30" i="1"/>
  <c r="N30" i="1" s="1"/>
  <c r="L31" i="1"/>
  <c r="L32" i="1"/>
  <c r="L33" i="1"/>
  <c r="L34" i="1"/>
  <c r="L35" i="1"/>
  <c r="L36" i="1"/>
</calcChain>
</file>

<file path=xl/sharedStrings.xml><?xml version="1.0" encoding="utf-8"?>
<sst xmlns="http://schemas.openxmlformats.org/spreadsheetml/2006/main" count="262" uniqueCount="120">
  <si>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</si>
  <si>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</si>
  <si>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</si>
  <si>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</si>
  <si>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</si>
  <si>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</si>
  <si>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</si>
  <si>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</si>
  <si>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</si>
  <si>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</si>
  <si>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</si>
  <si>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</si>
  <si>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</si>
  <si>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</si>
  <si>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</si>
  <si>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</si>
  <si>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</si>
  <si>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</si>
  <si>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</si>
  <si>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</si>
  <si>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</si>
  <si>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</si>
  <si>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</si>
  <si>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</si>
  <si>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</si>
  <si>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</si>
  <si>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</si>
  <si>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</si>
  <si>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</si>
  <si>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</si>
  <si>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</si>
  <si>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</si>
  <si>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</si>
  <si>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</si>
  <si>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</si>
  <si>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</si>
  <si>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</si>
  <si>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</si>
  <si>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</si>
  <si>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</si>
  <si>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</si>
  <si>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</si>
  <si>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</si>
  <si>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</si>
  <si>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</si>
  <si>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</si>
  <si>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</si>
  <si>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</si>
  <si>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</si>
  <si>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</si>
  <si>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</si>
  <si>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</si>
  <si>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</si>
  <si>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</si>
  <si>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</si>
  <si>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</si>
  <si>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</si>
  <si>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</si>
  <si>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</si>
  <si>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</si>
  <si>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</si>
  <si>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</si>
  <si>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</si>
  <si>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</si>
  <si>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</si>
  <si>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</si>
  <si>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</si>
  <si>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</si>
  <si>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</si>
  <si>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</si>
  <si>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</si>
  <si>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</si>
  <si>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</si>
  <si>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</si>
  <si>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</si>
  <si>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</si>
  <si>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</si>
  <si>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</si>
  <si>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</si>
  <si>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</si>
  <si>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</si>
  <si>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</si>
  <si>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</si>
  <si>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</si>
  <si>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</si>
  <si>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</si>
  <si>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</si>
  <si>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</si>
  <si>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</si>
  <si>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</si>
  <si>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</si>
  <si>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</si>
  <si>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</si>
  <si>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</si>
  <si>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</si>
  <si>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</si>
  <si>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</si>
  <si>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</si>
  <si>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</si>
  <si>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</si>
  <si>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</si>
  <si>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</si>
  <si>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</si>
  <si>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</si>
  <si>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</si>
  <si>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</si>
  <si>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</si>
  <si>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Membership_Duration_Months</t>
  </si>
  <si>
    <t>Column1</t>
  </si>
  <si>
    <t>REFERRED</t>
  </si>
  <si>
    <t>Total_Revenue</t>
  </si>
  <si>
    <t>AGE_DISTRIBUTION</t>
  </si>
  <si>
    <t>Row Labels</t>
  </si>
  <si>
    <t>Grand Total</t>
  </si>
  <si>
    <t>YES</t>
  </si>
  <si>
    <t>NO</t>
  </si>
  <si>
    <t>Column Labels</t>
  </si>
  <si>
    <t>Sum of Total_Revenue</t>
  </si>
  <si>
    <t>Average of Monthly_Fee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</si>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</sst>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0"/>
      <color theme="1"/>
      <name val="Arial Unicode MS"/>
    </font>
    <font>
      <sz val="8"/>
      <name val="Calibri"/>
      <family val="2"/>
      <scheme val="minor"/>
    </font>
    <font>
      <b/>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top"/>
    </xf>
    <xf numFmtId="0" fontId="3" fillId="0" borderId="0" xfId="0" applyFont="1"/>
    <xf numFmtId="14" fontId="4" fillId="0" borderId="0" xfId="0" applyNumberFormat="1" applyFont="1"/>
    <xf numFmtId="14" fontId="2" fillId="0" borderId="1" xfId="0" applyNumberFormat="1" applyFont="1" applyBorder="1" applyAlignment="1">
      <alignment horizontal="center" vertical="top"/>
    </xf>
    <xf numFmtId="14" fontId="0" fillId="0" borderId="0" xfId="0" applyNumberFormat="1"/>
    <xf numFmtId="0" fontId="1" fillId="0" borderId="0" xfId="0" applyFont="1"/>
    <xf numFmtId="0" fontId="0" fillId="0" borderId="0" xfId="0" applyFont="1"/>
    <xf numFmtId="0" fontId="2" fillId="0" borderId="2" xfId="0" applyFont="1" applyBorder="1" applyAlignment="1">
      <alignment horizontal="center" vertical="top"/>
    </xf>
    <xf numFmtId="1" fontId="5" fillId="0" borderId="0" xfId="0" applyNumberFormat="1" applyFont="1"/>
    <xf numFmtId="1" fontId="0" fillId="0" borderId="0" xfId="0" applyNumberFormat="1"/>
    <xf numFmtId="0" fontId="7" fillId="0" borderId="2" xfId="0" applyFont="1" applyBorder="1" applyAlignment="1">
      <alignment horizontal="center" vertical="top"/>
    </xf>
    <xf numFmtId="0" fontId="1" fillId="0" borderId="0" xfId="0" applyFont="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1">
    <cellStyle name="Normal" xfId="0" builtinId="0"/>
  </cellStyles>
  <dxfs count="16">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0" formatCode="General"/>
    </dxf>
    <dxf>
      <numFmt numFmtId="1" formatCode="0"/>
    </dxf>
    <dxf>
      <font>
        <b val="0"/>
        <i val="0"/>
        <strike val="0"/>
        <condense val="0"/>
        <extend val="0"/>
        <outline val="0"/>
        <shadow val="0"/>
        <u val="none"/>
        <vertAlign val="baseline"/>
        <sz val="11"/>
        <color theme="1"/>
        <name val="Calibri"/>
        <scheme val="none"/>
      </font>
      <numFmt numFmtId="19" formatCode="dd/mm/yyyy"/>
    </dxf>
    <dxf>
      <font>
        <b val="0"/>
        <i val="0"/>
        <strike val="0"/>
        <condense val="0"/>
        <extend val="0"/>
        <outline val="0"/>
        <shadow val="0"/>
        <u val="none"/>
        <vertAlign val="baseline"/>
        <sz val="11"/>
        <color theme="1"/>
        <name val="Calibri"/>
        <scheme val="none"/>
      </font>
      <numFmt numFmtId="19" formatCode="dd/mm/yyyy"/>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assignment 1.xlsx]Segment Profitability Dashboard!PivotTable5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Profitability Dashboard'!$B$3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'Segment Profitability Dashboard'!$A$4:$A$24</c:f>
              <c:multiLvlStrCache>
                <c:ptCount val="11"/>
                <c:lvl>
                  <c:pt idx="0">
                    <c:v>NO</c:v>
                  </c:pt>
                  <c:pt idx="1">
                    <c:v>NO</c:v>
                  </c:pt>
                  <c:pt idx="2">
                    <c:v>NO</c:v>
                  </c:pt>
                  <c:pt idx="3">
                    <c:v>YES</c:v>
                  </c:pt>
                  <c:pt idx="4">
                    <c:v>NO</c:v>
                  </c:pt>
                  <c:pt idx="5">
                    <c:v>YES</c:v>
                  </c:pt>
                  <c:pt idx="6">
                    <c:v>NO</c:v>
                  </c:pt>
                  <c:pt idx="7">
                    <c:v>NO</c:v>
                  </c:pt>
                  <c:pt idx="8">
                    <c:v>YES</c:v>
                  </c:pt>
                  <c:pt idx="9">
                    <c:v>NO</c:v>
                  </c:pt>
                  <c:pt idx="10">
                    <c:v>YES</c:v>
                  </c:pt>
                </c:lvl>
                <c:lvl>
                  <c:pt idx="0">
                    <c:v>Bengaluru</c:v>
                  </c:pt>
                  <c:pt idx="1">
                    <c:v>Delhi</c:v>
                  </c:pt>
                  <c:pt idx="2">
                    <c:v>Mumbai</c:v>
                  </c:pt>
                  <c:pt idx="4">
                    <c:v>Bengaluru</c:v>
                  </c:pt>
                  <c:pt idx="6">
                    <c:v>Delhi</c:v>
                  </c:pt>
                  <c:pt idx="7">
                    <c:v>Hyderabad</c:v>
                  </c:pt>
                  <c:pt idx="9">
                    <c:v>Mumbai</c:v>
                  </c:pt>
                </c:lvl>
                <c:lvl>
                  <c:pt idx="0">
                    <c:v>Premium</c:v>
                  </c:pt>
                  <c:pt idx="4">
                    <c:v>Standard</c:v>
                  </c:pt>
                </c:lvl>
              </c:multiLvlStrCache>
            </c:multiLvlStrRef>
          </c:cat>
          <c:val>
            <c:numRef>
              <c:f>'Segment Profitability Dashboard'!$B$4:$B$24</c:f>
              <c:numCache>
                <c:formatCode>General</c:formatCode>
                <c:ptCount val="11"/>
                <c:pt idx="0">
                  <c:v>17760</c:v>
                </c:pt>
                <c:pt idx="1">
                  <c:v>240</c:v>
                </c:pt>
                <c:pt idx="2">
                  <c:v>31680.000000000004</c:v>
                </c:pt>
                <c:pt idx="3">
                  <c:v>5160</c:v>
                </c:pt>
                <c:pt idx="4">
                  <c:v>11640</c:v>
                </c:pt>
                <c:pt idx="5">
                  <c:v>6480</c:v>
                </c:pt>
                <c:pt idx="6">
                  <c:v>1000</c:v>
                </c:pt>
                <c:pt idx="7">
                  <c:v>14240</c:v>
                </c:pt>
                <c:pt idx="8">
                  <c:v>11520</c:v>
                </c:pt>
                <c:pt idx="9">
                  <c:v>15600</c:v>
                </c:pt>
                <c:pt idx="10">
                  <c:v>3120</c:v>
                </c:pt>
              </c:numCache>
            </c:numRef>
          </c:val>
          <c:extLst>
            <c:ext xmlns:c16="http://schemas.microsoft.com/office/drawing/2014/chart" uri="{C3380CC4-5D6E-409C-BE32-E72D297353CC}">
              <c16:uniqueId val="{00000000-2784-4B6E-A020-AB76F2C6FFDB}"/>
            </c:ext>
          </c:extLst>
        </c:ser>
        <c:dLbls>
          <c:showLegendKey val="0"/>
          <c:showVal val="0"/>
          <c:showCatName val="0"/>
          <c:showSerName val="0"/>
          <c:showPercent val="0"/>
          <c:showBubbleSize val="0"/>
        </c:dLbls>
        <c:gapWidth val="100"/>
        <c:overlap val="-24"/>
        <c:axId val="886424671"/>
        <c:axId val="886423231"/>
      </c:barChart>
      <c:catAx>
        <c:axId val="886424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23231"/>
        <c:crosses val="autoZero"/>
        <c:auto val="1"/>
        <c:lblAlgn val="ctr"/>
        <c:lblOffset val="100"/>
        <c:noMultiLvlLbl val="0"/>
      </c:catAx>
      <c:valAx>
        <c:axId val="886423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42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assignment 1.xlsx]Referral Impact!PivotTable3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'Referral Impact'!$B$3</c:f>
              <c:strCache>
                <c:ptCount val="1"/>
                <c:pt idx="0">
                  <c:v>Total</c:v>
                </c:pt>
              </c:strCache>
            </c:strRef>
          </c:tx>
          <c:spPr>
            <a:solidFill>
              <a:schemeClr val="accent1"/>
            </a:solidFill>
            <a:ln>
              <a:noFill/>
            </a:ln>
            <a:effectLst/>
          </c:spPr>
          <c:invertIfNegative val="0"/>
          <c:cat>
            <c:strRef>
              <c:f>'Referral Impact'!$A$4:$A$20</c:f>
              <c:strCache>
                <c:ptCount val="16"/>
                <c:pt idx="0">
                  <c:v>Adira Brar</c:v>
                </c:pt>
                <c:pt idx="1">
                  <c:v>Darshit Sidhu</c:v>
                </c:pt>
                <c:pt idx="2">
                  <c:v>Hiran Shan</c:v>
                </c:pt>
                <c:pt idx="3">
                  <c:v>Ishaan Kashyap</c:v>
                </c:pt>
                <c:pt idx="4">
                  <c:v>Jhanvi Chaudhary</c:v>
                </c:pt>
                <c:pt idx="5">
                  <c:v>Kiara Kakar</c:v>
                </c:pt>
                <c:pt idx="6">
                  <c:v>Madhav Singh</c:v>
                </c:pt>
                <c:pt idx="7">
                  <c:v>Nakul Balakrishnan</c:v>
                </c:pt>
                <c:pt idx="8">
                  <c:v>Nitara Comar</c:v>
                </c:pt>
                <c:pt idx="9">
                  <c:v>Ranbir Karan</c:v>
                </c:pt>
                <c:pt idx="10">
                  <c:v>Rati Sanghvi</c:v>
                </c:pt>
                <c:pt idx="11">
                  <c:v>Riya Dugal</c:v>
                </c:pt>
                <c:pt idx="12">
                  <c:v>Shray Ramakrishnan</c:v>
                </c:pt>
                <c:pt idx="13">
                  <c:v>Tanya Bajwa</c:v>
                </c:pt>
                <c:pt idx="14">
                  <c:v>Tara Swaminathan</c:v>
                </c:pt>
                <c:pt idx="15">
                  <c:v>(blank)</c:v>
                </c:pt>
              </c:strCache>
            </c:strRef>
          </c:cat>
          <c:val>
            <c:numRef>
              <c:f>'Referral Impact'!$B$4:$B$20</c:f>
              <c:numCache>
                <c:formatCode>General</c:formatCode>
                <c:ptCount val="16"/>
                <c:pt idx="0">
                  <c:v>1800</c:v>
                </c:pt>
                <c:pt idx="1">
                  <c:v>800</c:v>
                </c:pt>
                <c:pt idx="2">
                  <c:v>800</c:v>
                </c:pt>
                <c:pt idx="3">
                  <c:v>1200</c:v>
                </c:pt>
                <c:pt idx="4">
                  <c:v>1200</c:v>
                </c:pt>
                <c:pt idx="5">
                  <c:v>800</c:v>
                </c:pt>
                <c:pt idx="6">
                  <c:v>2500</c:v>
                </c:pt>
                <c:pt idx="7">
                  <c:v>2500</c:v>
                </c:pt>
                <c:pt idx="8">
                  <c:v>800</c:v>
                </c:pt>
                <c:pt idx="9">
                  <c:v>1200</c:v>
                </c:pt>
                <c:pt idx="10">
                  <c:v>1200</c:v>
                </c:pt>
                <c:pt idx="11">
                  <c:v>1800</c:v>
                </c:pt>
                <c:pt idx="12">
                  <c:v>800</c:v>
                </c:pt>
                <c:pt idx="13">
                  <c:v>2500</c:v>
                </c:pt>
                <c:pt idx="14">
                  <c:v>1200</c:v>
                </c:pt>
                <c:pt idx="15">
                  <c:v>1530</c:v>
                </c:pt>
              </c:numCache>
            </c:numRef>
          </c:val>
          <c:extLst>
            <c:ext xmlns:c16="http://schemas.microsoft.com/office/drawing/2014/chart" uri="{C3380CC4-5D6E-409C-BE32-E72D297353CC}">
              <c16:uniqueId val="{00000000-CA0E-4CCE-8481-1DCA8E9BFA08}"/>
            </c:ext>
          </c:extLst>
        </c:ser>
        <c:dLbls>
          <c:showLegendKey val="0"/>
          <c:showVal val="0"/>
          <c:showCatName val="0"/>
          <c:showSerName val="0"/>
          <c:showPercent val="0"/>
          <c:showBubbleSize val="0"/>
        </c:dLbls>
        <c:gapWidth val="219"/>
        <c:overlap val="-27"/>
        <c:axId val="1061940303"/>
        <c:axId val="1061938383"/>
      </c:barChart>
      <c:catAx>
        <c:axId val="106194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38383"/>
        <c:crosses val="autoZero"/>
        <c:auto val="1"/>
        <c:lblAlgn val="ctr"/>
        <c:lblOffset val="100"/>
        <c:noMultiLvlLbl val="0"/>
      </c:catAx>
      <c:valAx>
        <c:axId val="106193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4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assignment 1.xlsx]Total Revenue!PivotTable4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Revenue'!$B$3:$B$4</c:f>
              <c:strCache>
                <c:ptCount val="1"/>
                <c:pt idx="0">
                  <c:v>Bengaluru</c:v>
                </c:pt>
              </c:strCache>
            </c:strRef>
          </c:tx>
          <c:spPr>
            <a:solidFill>
              <a:schemeClr val="accent1"/>
            </a:solidFill>
            <a:ln>
              <a:noFill/>
            </a:ln>
            <a:effectLst/>
          </c:spPr>
          <c:invertIfNegative val="0"/>
          <c:cat>
            <c:strRef>
              <c:f>'Total Revenue'!$A$5:$A$9</c:f>
              <c:strCache>
                <c:ptCount val="4"/>
                <c:pt idx="0">
                  <c:v>Basic</c:v>
                </c:pt>
                <c:pt idx="1">
                  <c:v>Family</c:v>
                </c:pt>
                <c:pt idx="2">
                  <c:v>Premium</c:v>
                </c:pt>
                <c:pt idx="3">
                  <c:v>Standard</c:v>
                </c:pt>
              </c:strCache>
            </c:strRef>
          </c:cat>
          <c:val>
            <c:numRef>
              <c:f>'Total Revenue'!$B$5:$B$9</c:f>
              <c:numCache>
                <c:formatCode>General</c:formatCode>
                <c:ptCount val="4"/>
                <c:pt idx="0">
                  <c:v>5066.6666666666661</c:v>
                </c:pt>
                <c:pt idx="1">
                  <c:v>17916.666666666668</c:v>
                </c:pt>
                <c:pt idx="2">
                  <c:v>17760</c:v>
                </c:pt>
                <c:pt idx="3">
                  <c:v>18120</c:v>
                </c:pt>
              </c:numCache>
            </c:numRef>
          </c:val>
          <c:extLst>
            <c:ext xmlns:c16="http://schemas.microsoft.com/office/drawing/2014/chart" uri="{C3380CC4-5D6E-409C-BE32-E72D297353CC}">
              <c16:uniqueId val="{00000000-E2E5-4805-B7F7-4767AE85E130}"/>
            </c:ext>
          </c:extLst>
        </c:ser>
        <c:ser>
          <c:idx val="1"/>
          <c:order val="1"/>
          <c:tx>
            <c:strRef>
              <c:f>'Total Revenue'!$C$3:$C$4</c:f>
              <c:strCache>
                <c:ptCount val="1"/>
                <c:pt idx="0">
                  <c:v>Delhi</c:v>
                </c:pt>
              </c:strCache>
            </c:strRef>
          </c:tx>
          <c:spPr>
            <a:solidFill>
              <a:schemeClr val="accent2"/>
            </a:solidFill>
            <a:ln>
              <a:noFill/>
            </a:ln>
            <a:effectLst/>
          </c:spPr>
          <c:invertIfNegative val="0"/>
          <c:cat>
            <c:strRef>
              <c:f>'Total Revenue'!$A$5:$A$9</c:f>
              <c:strCache>
                <c:ptCount val="4"/>
                <c:pt idx="0">
                  <c:v>Basic</c:v>
                </c:pt>
                <c:pt idx="1">
                  <c:v>Family</c:v>
                </c:pt>
                <c:pt idx="2">
                  <c:v>Premium</c:v>
                </c:pt>
                <c:pt idx="3">
                  <c:v>Standard</c:v>
                </c:pt>
              </c:strCache>
            </c:strRef>
          </c:cat>
          <c:val>
            <c:numRef>
              <c:f>'Total Revenue'!$C$5:$C$9</c:f>
              <c:numCache>
                <c:formatCode>General</c:formatCode>
                <c:ptCount val="4"/>
                <c:pt idx="0">
                  <c:v>15146.666666666666</c:v>
                </c:pt>
                <c:pt idx="1">
                  <c:v>36333.333333333336</c:v>
                </c:pt>
                <c:pt idx="2">
                  <c:v>240</c:v>
                </c:pt>
                <c:pt idx="3">
                  <c:v>1000</c:v>
                </c:pt>
              </c:numCache>
            </c:numRef>
          </c:val>
          <c:extLst>
            <c:ext xmlns:c16="http://schemas.microsoft.com/office/drawing/2014/chart" uri="{C3380CC4-5D6E-409C-BE32-E72D297353CC}">
              <c16:uniqueId val="{00000001-E2E5-4805-B7F7-4767AE85E130}"/>
            </c:ext>
          </c:extLst>
        </c:ser>
        <c:ser>
          <c:idx val="2"/>
          <c:order val="2"/>
          <c:tx>
            <c:strRef>
              <c:f>'Total Revenue'!$D$3:$D$4</c:f>
              <c:strCache>
                <c:ptCount val="1"/>
                <c:pt idx="0">
                  <c:v>Hyderabad</c:v>
                </c:pt>
              </c:strCache>
            </c:strRef>
          </c:tx>
          <c:spPr>
            <a:solidFill>
              <a:schemeClr val="accent3"/>
            </a:solidFill>
            <a:ln>
              <a:noFill/>
            </a:ln>
            <a:effectLst/>
          </c:spPr>
          <c:invertIfNegative val="0"/>
          <c:cat>
            <c:strRef>
              <c:f>'Total Revenue'!$A$5:$A$9</c:f>
              <c:strCache>
                <c:ptCount val="4"/>
                <c:pt idx="0">
                  <c:v>Basic</c:v>
                </c:pt>
                <c:pt idx="1">
                  <c:v>Family</c:v>
                </c:pt>
                <c:pt idx="2">
                  <c:v>Premium</c:v>
                </c:pt>
                <c:pt idx="3">
                  <c:v>Standard</c:v>
                </c:pt>
              </c:strCache>
            </c:strRef>
          </c:cat>
          <c:val>
            <c:numRef>
              <c:f>'Total Revenue'!$D$5:$D$9</c:f>
              <c:numCache>
                <c:formatCode>General</c:formatCode>
                <c:ptCount val="4"/>
                <c:pt idx="0">
                  <c:v>5520</c:v>
                </c:pt>
                <c:pt idx="1">
                  <c:v>583.33333333333337</c:v>
                </c:pt>
                <c:pt idx="3">
                  <c:v>25760</c:v>
                </c:pt>
              </c:numCache>
            </c:numRef>
          </c:val>
          <c:extLst>
            <c:ext xmlns:c16="http://schemas.microsoft.com/office/drawing/2014/chart" uri="{C3380CC4-5D6E-409C-BE32-E72D297353CC}">
              <c16:uniqueId val="{00000002-E2E5-4805-B7F7-4767AE85E130}"/>
            </c:ext>
          </c:extLst>
        </c:ser>
        <c:ser>
          <c:idx val="3"/>
          <c:order val="3"/>
          <c:tx>
            <c:strRef>
              <c:f>'Total Revenue'!$E$3:$E$4</c:f>
              <c:strCache>
                <c:ptCount val="1"/>
                <c:pt idx="0">
                  <c:v>Kolkata</c:v>
                </c:pt>
              </c:strCache>
            </c:strRef>
          </c:tx>
          <c:spPr>
            <a:solidFill>
              <a:schemeClr val="accent4"/>
            </a:solidFill>
            <a:ln>
              <a:noFill/>
            </a:ln>
            <a:effectLst/>
          </c:spPr>
          <c:invertIfNegative val="0"/>
          <c:cat>
            <c:strRef>
              <c:f>'Total Revenue'!$A$5:$A$9</c:f>
              <c:strCache>
                <c:ptCount val="4"/>
                <c:pt idx="0">
                  <c:v>Basic</c:v>
                </c:pt>
                <c:pt idx="1">
                  <c:v>Family</c:v>
                </c:pt>
                <c:pt idx="2">
                  <c:v>Premium</c:v>
                </c:pt>
                <c:pt idx="3">
                  <c:v>Standard</c:v>
                </c:pt>
              </c:strCache>
            </c:strRef>
          </c:cat>
          <c:val>
            <c:numRef>
              <c:f>'Total Revenue'!$E$5:$E$9</c:f>
              <c:numCache>
                <c:formatCode>General</c:formatCode>
                <c:ptCount val="4"/>
                <c:pt idx="0">
                  <c:v>346.66666666666669</c:v>
                </c:pt>
                <c:pt idx="1">
                  <c:v>9000</c:v>
                </c:pt>
                <c:pt idx="2">
                  <c:v>11880</c:v>
                </c:pt>
                <c:pt idx="3">
                  <c:v>16560</c:v>
                </c:pt>
              </c:numCache>
            </c:numRef>
          </c:val>
          <c:extLst>
            <c:ext xmlns:c16="http://schemas.microsoft.com/office/drawing/2014/chart" uri="{C3380CC4-5D6E-409C-BE32-E72D297353CC}">
              <c16:uniqueId val="{00000003-E2E5-4805-B7F7-4767AE85E130}"/>
            </c:ext>
          </c:extLst>
        </c:ser>
        <c:ser>
          <c:idx val="4"/>
          <c:order val="4"/>
          <c:tx>
            <c:strRef>
              <c:f>'Total Revenue'!$F$3:$F$4</c:f>
              <c:strCache>
                <c:ptCount val="1"/>
                <c:pt idx="0">
                  <c:v>Mumbai</c:v>
                </c:pt>
              </c:strCache>
            </c:strRef>
          </c:tx>
          <c:spPr>
            <a:solidFill>
              <a:schemeClr val="accent5"/>
            </a:solidFill>
            <a:ln>
              <a:noFill/>
            </a:ln>
            <a:effectLst/>
          </c:spPr>
          <c:invertIfNegative val="0"/>
          <c:cat>
            <c:strRef>
              <c:f>'Total Revenue'!$A$5:$A$9</c:f>
              <c:strCache>
                <c:ptCount val="4"/>
                <c:pt idx="0">
                  <c:v>Basic</c:v>
                </c:pt>
                <c:pt idx="1">
                  <c:v>Family</c:v>
                </c:pt>
                <c:pt idx="2">
                  <c:v>Premium</c:v>
                </c:pt>
                <c:pt idx="3">
                  <c:v>Standard</c:v>
                </c:pt>
              </c:strCache>
            </c:strRef>
          </c:cat>
          <c:val>
            <c:numRef>
              <c:f>'Total Revenue'!$F$5:$F$9</c:f>
              <c:numCache>
                <c:formatCode>General</c:formatCode>
                <c:ptCount val="4"/>
                <c:pt idx="0">
                  <c:v>11360.000000000002</c:v>
                </c:pt>
                <c:pt idx="1">
                  <c:v>18250</c:v>
                </c:pt>
                <c:pt idx="2">
                  <c:v>36840</c:v>
                </c:pt>
                <c:pt idx="3">
                  <c:v>18720</c:v>
                </c:pt>
              </c:numCache>
            </c:numRef>
          </c:val>
          <c:extLst>
            <c:ext xmlns:c16="http://schemas.microsoft.com/office/drawing/2014/chart" uri="{C3380CC4-5D6E-409C-BE32-E72D297353CC}">
              <c16:uniqueId val="{00000004-E2E5-4805-B7F7-4767AE85E130}"/>
            </c:ext>
          </c:extLst>
        </c:ser>
        <c:ser>
          <c:idx val="5"/>
          <c:order val="5"/>
          <c:tx>
            <c:strRef>
              <c:f>'Total Revenue'!$G$3:$G$4</c:f>
              <c:strCache>
                <c:ptCount val="1"/>
                <c:pt idx="0">
                  <c:v>Pune</c:v>
                </c:pt>
              </c:strCache>
            </c:strRef>
          </c:tx>
          <c:spPr>
            <a:solidFill>
              <a:schemeClr val="accent6"/>
            </a:solidFill>
            <a:ln>
              <a:noFill/>
            </a:ln>
            <a:effectLst/>
          </c:spPr>
          <c:invertIfNegative val="0"/>
          <c:cat>
            <c:strRef>
              <c:f>'Total Revenue'!$A$5:$A$9</c:f>
              <c:strCache>
                <c:ptCount val="4"/>
                <c:pt idx="0">
                  <c:v>Basic</c:v>
                </c:pt>
                <c:pt idx="1">
                  <c:v>Family</c:v>
                </c:pt>
                <c:pt idx="2">
                  <c:v>Premium</c:v>
                </c:pt>
                <c:pt idx="3">
                  <c:v>Standard</c:v>
                </c:pt>
              </c:strCache>
            </c:strRef>
          </c:cat>
          <c:val>
            <c:numRef>
              <c:f>'Total Revenue'!$G$5:$G$9</c:f>
              <c:numCache>
                <c:formatCode>General</c:formatCode>
                <c:ptCount val="4"/>
                <c:pt idx="0">
                  <c:v>3066.666666666667</c:v>
                </c:pt>
                <c:pt idx="2">
                  <c:v>7980</c:v>
                </c:pt>
                <c:pt idx="3">
                  <c:v>14840</c:v>
                </c:pt>
              </c:numCache>
            </c:numRef>
          </c:val>
          <c:extLst>
            <c:ext xmlns:c16="http://schemas.microsoft.com/office/drawing/2014/chart" uri="{C3380CC4-5D6E-409C-BE32-E72D297353CC}">
              <c16:uniqueId val="{00000005-E2E5-4805-B7F7-4767AE85E130}"/>
            </c:ext>
          </c:extLst>
        </c:ser>
        <c:dLbls>
          <c:showLegendKey val="0"/>
          <c:showVal val="0"/>
          <c:showCatName val="0"/>
          <c:showSerName val="0"/>
          <c:showPercent val="0"/>
          <c:showBubbleSize val="0"/>
        </c:dLbls>
        <c:gapWidth val="219"/>
        <c:overlap val="-27"/>
        <c:axId val="887118527"/>
        <c:axId val="887117087"/>
      </c:barChart>
      <c:catAx>
        <c:axId val="8871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17087"/>
        <c:crosses val="autoZero"/>
        <c:auto val="1"/>
        <c:lblAlgn val="ctr"/>
        <c:lblOffset val="100"/>
        <c:noMultiLvlLbl val="0"/>
      </c:catAx>
      <c:valAx>
        <c:axId val="88711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118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594360</xdr:colOff>
      <xdr:row>22</xdr:row>
      <xdr:rowOff>7620</xdr:rowOff>
    </xdr:to>
    <xdr:graphicFrame macro="">
      <xdr:nvGraphicFramePr>
        <xdr:cNvPr id="6" name="Chart 5">
          <a:extLst>
            <a:ext uri="{FF2B5EF4-FFF2-40B4-BE49-F238E27FC236}">
              <a16:creationId xmlns:a16="http://schemas.microsoft.com/office/drawing/2014/main" id="{EEFF4C04-F17A-4018-8160-A8243D2BD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243840</xdr:colOff>
      <xdr:row>2</xdr:row>
      <xdr:rowOff>106680</xdr:rowOff>
    </xdr:from>
    <xdr:to>
      <xdr:col>13</xdr:col>
      <xdr:colOff>243840</xdr:colOff>
      <xdr:row>16</xdr:row>
      <xdr:rowOff>13335</xdr:rowOff>
    </xdr:to>
    <mc:AlternateContent xmlns:mc="http://schemas.openxmlformats.org/markup-compatibility/2006">
      <mc:Choice xmlns:a14="http://schemas.microsoft.com/office/drawing/2010/main" Requires="a14">
        <xdr:graphicFrame macro="">
          <xdr:nvGraphicFramePr>
            <xdr:cNvPr id="8" name="Membership_Type 3">
              <a:extLst>
                <a:ext uri="{FF2B5EF4-FFF2-40B4-BE49-F238E27FC236}">
                  <a16:creationId xmlns:a16="http://schemas.microsoft.com/office/drawing/2014/main" id="{E1DF7ADA-C623-4A30-ACD8-88EFC6AB7FCA}"/>
                </a:ext>
              </a:extLst>
            </xdr:cNvPr>
            <xdr:cNvGraphicFramePr/>
          </xdr:nvGraphicFramePr>
          <xdr:xfrm>
            <a:off x="0" y="0"/>
            <a:ext cx="0" cy="0"/>
          </xdr:xfrm>
          <a:graphic>
            <a:graphicData uri="http://schemas.microsoft.com/office/drawing/2010/slicer">
              <sle:slicer xmlns:sle="http://schemas.microsoft.com/office/drawing/2010/slicer" name="Membership_Type 3"/>
            </a:graphicData>
          </a:graphic>
        </xdr:graphicFrame>
      </mc:Choice>
      <mc:Fallback>
        <xdr:sp macro="" textlink="">
          <xdr:nvSpPr>
            <xdr:cNvPr id="0" name=""/>
            <xdr:cNvSpPr>
              <a:spLocks noTextEdit="1"/>
            </xdr:cNvSpPr>
          </xdr:nvSpPr>
          <xdr:spPr>
            <a:xfrm>
              <a:off x="633984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480060</xdr:colOff>
      <xdr:row>2</xdr:row>
      <xdr:rowOff>121920</xdr:rowOff>
    </xdr:from>
    <xdr:to>
      <xdr:col>16</xdr:col>
      <xdr:colOff>480060</xdr:colOff>
      <xdr:row>16</xdr:row>
      <xdr:rowOff>28575</xdr:rowOff>
    </xdr:to>
    <mc:AlternateContent xmlns:mc="http://schemas.openxmlformats.org/markup-compatibility/2006">
      <mc:Choice xmlns:a14="http://schemas.microsoft.com/office/drawing/2010/main" Requires="a14">
        <xdr:graphicFrame macro="">
          <xdr:nvGraphicFramePr>
            <xdr:cNvPr id="9" name="REFERRED 2">
              <a:extLst>
                <a:ext uri="{FF2B5EF4-FFF2-40B4-BE49-F238E27FC236}">
                  <a16:creationId xmlns:a16="http://schemas.microsoft.com/office/drawing/2014/main" id="{E7974C5B-3D0C-4CBC-B485-023B48FFEA47}"/>
                </a:ext>
              </a:extLst>
            </xdr:cNvPr>
            <xdr:cNvGraphicFramePr/>
          </xdr:nvGraphicFramePr>
          <xdr:xfrm>
            <a:off x="0" y="0"/>
            <a:ext cx="0" cy="0"/>
          </xdr:xfrm>
          <a:graphic>
            <a:graphicData uri="http://schemas.microsoft.com/office/drawing/2010/slicer">
              <sle:slicer xmlns:sle="http://schemas.microsoft.com/office/drawing/2010/slicer" name="REFERRED 2"/>
            </a:graphicData>
          </a:graphic>
        </xdr:graphicFrame>
      </mc:Choice>
      <mc:Fallback>
        <xdr:sp macro="" textlink="">
          <xdr:nvSpPr>
            <xdr:cNvPr id="0" name=""/>
            <xdr:cNvSpPr>
              <a:spLocks noTextEdit="1"/>
            </xdr:cNvSpPr>
          </xdr:nvSpPr>
          <xdr:spPr>
            <a:xfrm>
              <a:off x="8404860" y="487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114300</xdr:colOff>
      <xdr:row>2</xdr:row>
      <xdr:rowOff>144780</xdr:rowOff>
    </xdr:from>
    <xdr:to>
      <xdr:col>20</xdr:col>
      <xdr:colOff>114300</xdr:colOff>
      <xdr:row>16</xdr:row>
      <xdr:rowOff>51435</xdr:rowOff>
    </xdr:to>
    <mc:AlternateContent xmlns:mc="http://schemas.openxmlformats.org/markup-compatibility/2006">
      <mc:Choice xmlns:a14="http://schemas.microsoft.com/office/drawing/2010/main" Requires="a14">
        <xdr:graphicFrame macro="">
          <xdr:nvGraphicFramePr>
            <xdr:cNvPr id="10" name="City 2">
              <a:extLst>
                <a:ext uri="{FF2B5EF4-FFF2-40B4-BE49-F238E27FC236}">
                  <a16:creationId xmlns:a16="http://schemas.microsoft.com/office/drawing/2014/main" id="{7D049633-2591-4922-9A51-EFF23FB934D7}"/>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0477500" y="510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281940</xdr:colOff>
      <xdr:row>3</xdr:row>
      <xdr:rowOff>0</xdr:rowOff>
    </xdr:from>
    <xdr:to>
      <xdr:col>10</xdr:col>
      <xdr:colOff>586740</xdr:colOff>
      <xdr:row>18</xdr:row>
      <xdr:rowOff>0</xdr:rowOff>
    </xdr:to>
    <xdr:graphicFrame macro="">
      <xdr:nvGraphicFramePr>
        <xdr:cNvPr id="2" name="Chart 1">
          <a:extLst>
            <a:ext uri="{FF2B5EF4-FFF2-40B4-BE49-F238E27FC236}">
              <a16:creationId xmlns:a16="http://schemas.microsoft.com/office/drawing/2014/main" id="{182C2269-570A-D6C2-A25F-C36ACD01D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9</xdr:row>
      <xdr:rowOff>114300</xdr:rowOff>
    </xdr:from>
    <xdr:to>
      <xdr:col>10</xdr:col>
      <xdr:colOff>556260</xdr:colOff>
      <xdr:row>24</xdr:row>
      <xdr:rowOff>114300</xdr:rowOff>
    </xdr:to>
    <xdr:graphicFrame macro="">
      <xdr:nvGraphicFramePr>
        <xdr:cNvPr id="2" name="Chart 1">
          <a:extLst>
            <a:ext uri="{FF2B5EF4-FFF2-40B4-BE49-F238E27FC236}">
              <a16:creationId xmlns:a16="http://schemas.microsoft.com/office/drawing/2014/main" id="{7910E5C0-A8EF-ADA3-0FF0-3848F213E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Patidar" refreshedDate="45931.982312499997" createdVersion="8" refreshedVersion="8" minRefreshableVersion="3" recordCount="35" xr:uid="{3F237A06-B90C-4390-9323-C9B98B633178}">
  <cacheSource type="worksheet">
    <worksheetSource name="Table1"/>
  </cacheSource>
  <cacheFields count="16">
    <cacheField name="Column1" numFmtId="0">
      <sharedItems count="35">
        <s v="M001"/>
        <s v="M002"/>
        <s v="M003"/>
        <s v="M004"/>
        <s v="M005"/>
        <s v="M006"/>
        <s v="M007"/>
        <s v="M008"/>
        <s v="M009"/>
        <s v="M010"/>
        <s v="M011"/>
        <s v="M012"/>
        <s v="M013"/>
        <s v="M014"/>
        <s v="M015"/>
        <s v="M016"/>
        <s v="M017"/>
        <s v="M018"/>
        <s v="M019"/>
        <s v="M020"/>
        <s v="M021"/>
        <s v="M022"/>
        <s v="M023"/>
        <s v="M024"/>
        <s v="M025"/>
        <s v="M026"/>
        <s v="M027"/>
        <s v="M028"/>
        <s v="M029"/>
        <s v="M030"/>
        <s v="M031"/>
        <s v="M032"/>
        <s v="M033"/>
        <s v="M034"/>
        <s v="M035"/>
      </sharedItems>
    </cacheField>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m/>
        <s v="Nitara Comar"/>
        <s v="Ranbir Karan"/>
        <s v="Rati Sanghvi"/>
        <s v="Ishaan Kashyap"/>
        <s v="Tanya Bajwa"/>
        <s v="Adira Brar"/>
        <s v="Nakul Balakrishnan"/>
        <s v="Darshit Sidhu"/>
        <s v="Riya Dugal"/>
      </sharedItems>
    </cacheField>
    <cacheField name="Membership_Duration_Months" numFmtId="1">
      <sharedItems containsSemiMixedTypes="0" containsString="0" containsNumber="1" minValue="0.13333333333333333" maxValue="18.933333333333334"/>
    </cacheField>
    <cacheField name="REFERRED" numFmtId="0">
      <sharedItems count="2">
        <s v="YES"/>
        <s v="NO"/>
      </sharedItems>
    </cacheField>
    <cacheField name="Total_Revenue" numFmtId="0">
      <sharedItems containsSemiMixedTypes="0" containsString="0" containsNumber="1" minValue="240" maxValue="36333.333333333336"/>
    </cacheField>
    <cacheField name="AGE_DISTRIBUTION" numFmtId="0">
      <sharedItems count="3">
        <s v="SENIOR"/>
        <s v="YOUTH"/>
        <s v="ADULT"/>
      </sharedItems>
    </cacheField>
    <cacheField name="Avg_Rev_Per_Member" numFmtId="0" formula="Total_Revenue /Column1" databaseField="0"/>
  </cacheFields>
  <extLst>
    <ext xmlns:x14="http://schemas.microsoft.com/office/spreadsheetml/2009/9/main" uri="{725AE2AE-9491-48be-B2B4-4EB974FC3084}">
      <x14:pivotCacheDefinition pivotCacheId="2029217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s v="Anay Shanker"/>
    <n v="59"/>
    <x v="0"/>
    <x v="0"/>
    <d v="2023-11-05T00:00:00"/>
    <d v="2024-05-13T00:00:00"/>
    <n v="800"/>
    <n v="25"/>
    <x v="0"/>
    <x v="0"/>
    <n v="6.333333333333333"/>
    <x v="0"/>
    <n v="5066.6666666666661"/>
    <x v="0"/>
  </r>
  <r>
    <x v="1"/>
    <s v="Parinaaz Shanker"/>
    <n v="27"/>
    <x v="0"/>
    <x v="0"/>
    <d v="2025-02-26T00:00:00"/>
    <d v="2025-03-24T00:00:00"/>
    <n v="800"/>
    <n v="20"/>
    <x v="1"/>
    <x v="1"/>
    <n v="0.8666666666666667"/>
    <x v="0"/>
    <n v="693.33333333333337"/>
    <x v="1"/>
  </r>
  <r>
    <x v="2"/>
    <s v="Aniruddh Batra"/>
    <n v="24"/>
    <x v="0"/>
    <x v="1"/>
    <d v="2023-09-22T00:00:00"/>
    <d v="2024-03-20T00:00:00"/>
    <n v="1200"/>
    <n v="18"/>
    <x v="2"/>
    <x v="2"/>
    <n v="6"/>
    <x v="0"/>
    <n v="7200"/>
    <x v="1"/>
  </r>
  <r>
    <x v="3"/>
    <s v="Madhup Kapur"/>
    <n v="31"/>
    <x v="1"/>
    <x v="1"/>
    <d v="2024-07-06T00:00:00"/>
    <d v="2024-10-22T00:00:00"/>
    <n v="1200"/>
    <n v="16"/>
    <x v="2"/>
    <x v="3"/>
    <n v="3.6"/>
    <x v="0"/>
    <n v="4320"/>
    <x v="2"/>
  </r>
  <r>
    <x v="4"/>
    <s v="Rasha Kakar"/>
    <n v="19"/>
    <x v="0"/>
    <x v="2"/>
    <d v="2023-12-26T00:00:00"/>
    <d v="2024-07-28T00:00:00"/>
    <n v="2500"/>
    <n v="12"/>
    <x v="0"/>
    <x v="4"/>
    <n v="7.166666666666667"/>
    <x v="0"/>
    <n v="17916.666666666668"/>
    <x v="1"/>
  </r>
  <r>
    <x v="5"/>
    <s v="Ehsaan Batra"/>
    <n v="40"/>
    <x v="0"/>
    <x v="0"/>
    <d v="2024-01-26T00:00:00"/>
    <d v="2024-04-10T00:00:00"/>
    <n v="800"/>
    <n v="14"/>
    <x v="3"/>
    <x v="5"/>
    <n v="2.5"/>
    <x v="0"/>
    <n v="2000"/>
    <x v="2"/>
  </r>
  <r>
    <x v="6"/>
    <s v="Zara Bains"/>
    <n v="41"/>
    <x v="1"/>
    <x v="0"/>
    <d v="2024-10-23T00:00:00"/>
    <d v="2025-01-20T00:00:00"/>
    <n v="800"/>
    <n v="25"/>
    <x v="1"/>
    <x v="6"/>
    <n v="2.9666666666666668"/>
    <x v="1"/>
    <n v="2373.3333333333335"/>
    <x v="2"/>
  </r>
  <r>
    <x v="7"/>
    <s v="Uthkarsh Baral"/>
    <n v="43"/>
    <x v="0"/>
    <x v="3"/>
    <d v="2024-06-07T00:00:00"/>
    <d v="2024-09-28T00:00:00"/>
    <n v="1800"/>
    <n v="28"/>
    <x v="4"/>
    <x v="6"/>
    <n v="3.7666666666666666"/>
    <x v="1"/>
    <n v="6780"/>
    <x v="2"/>
  </r>
  <r>
    <x v="8"/>
    <s v="Kashvi Char"/>
    <n v="42"/>
    <x v="0"/>
    <x v="0"/>
    <d v="2024-10-04T00:00:00"/>
    <d v="2024-10-17T00:00:00"/>
    <n v="800"/>
    <n v="3"/>
    <x v="4"/>
    <x v="7"/>
    <n v="0.43333333333333335"/>
    <x v="0"/>
    <n v="346.66666666666669"/>
    <x v="2"/>
  </r>
  <r>
    <x v="9"/>
    <s v="Dhanush Varma"/>
    <n v="37"/>
    <x v="0"/>
    <x v="1"/>
    <d v="2023-10-03T00:00:00"/>
    <d v="2023-12-20T00:00:00"/>
    <n v="1200"/>
    <n v="29"/>
    <x v="3"/>
    <x v="8"/>
    <n v="2.6"/>
    <x v="0"/>
    <n v="3120"/>
    <x v="2"/>
  </r>
  <r>
    <x v="10"/>
    <s v="Ishaan Goyal"/>
    <n v="48"/>
    <x v="1"/>
    <x v="1"/>
    <d v="2024-01-06T00:00:00"/>
    <d v="2024-06-16T00:00:00"/>
    <n v="1200"/>
    <n v="13"/>
    <x v="0"/>
    <x v="9"/>
    <n v="5.4"/>
    <x v="0"/>
    <n v="6480"/>
    <x v="0"/>
  </r>
  <r>
    <x v="11"/>
    <s v="Mahika Ravi"/>
    <n v="36"/>
    <x v="0"/>
    <x v="1"/>
    <d v="2023-08-16T00:00:00"/>
    <d v="2024-10-03T00:00:00"/>
    <n v="1200"/>
    <n v="19"/>
    <x v="4"/>
    <x v="10"/>
    <n v="13.8"/>
    <x v="0"/>
    <n v="16560"/>
    <x v="2"/>
  </r>
  <r>
    <x v="12"/>
    <s v="Purab Reddy"/>
    <n v="48"/>
    <x v="1"/>
    <x v="3"/>
    <d v="2024-09-21T00:00:00"/>
    <d v="2024-12-15T00:00:00"/>
    <n v="1800"/>
    <n v="22"/>
    <x v="4"/>
    <x v="6"/>
    <n v="2.8333333333333335"/>
    <x v="1"/>
    <n v="5100"/>
    <x v="0"/>
  </r>
  <r>
    <x v="13"/>
    <s v="Tiya Soni"/>
    <n v="39"/>
    <x v="0"/>
    <x v="1"/>
    <d v="2023-05-19T00:00:00"/>
    <d v="2023-11-12T00:00:00"/>
    <n v="1200"/>
    <n v="28"/>
    <x v="3"/>
    <x v="6"/>
    <n v="5.9"/>
    <x v="1"/>
    <n v="7080"/>
    <x v="2"/>
  </r>
  <r>
    <x v="14"/>
    <s v="Zara Dugar"/>
    <n v="44"/>
    <x v="1"/>
    <x v="0"/>
    <d v="2024-02-11T00:00:00"/>
    <d v="2024-09-05T00:00:00"/>
    <n v="800"/>
    <n v="8"/>
    <x v="2"/>
    <x v="6"/>
    <n v="6.9"/>
    <x v="1"/>
    <n v="5520"/>
    <x v="2"/>
  </r>
  <r>
    <x v="15"/>
    <s v="Lakshit Mander"/>
    <n v="39"/>
    <x v="0"/>
    <x v="2"/>
    <d v="2025-02-14T00:00:00"/>
    <d v="2025-03-16T00:00:00"/>
    <n v="2500"/>
    <n v="14"/>
    <x v="4"/>
    <x v="6"/>
    <n v="1"/>
    <x v="1"/>
    <n v="2500"/>
    <x v="2"/>
  </r>
  <r>
    <x v="16"/>
    <s v="Neysa Krish"/>
    <n v="35"/>
    <x v="0"/>
    <x v="1"/>
    <d v="2024-02-07T00:00:00"/>
    <d v="2025-01-28T00:00:00"/>
    <n v="1200"/>
    <n v="25"/>
    <x v="2"/>
    <x v="6"/>
    <n v="11.866666666666667"/>
    <x v="1"/>
    <n v="14240"/>
    <x v="2"/>
  </r>
  <r>
    <x v="17"/>
    <s v="Prerak Boase"/>
    <n v="56"/>
    <x v="1"/>
    <x v="2"/>
    <d v="2023-10-14T00:00:00"/>
    <d v="2024-12-23T00:00:00"/>
    <n v="2500"/>
    <n v="13"/>
    <x v="5"/>
    <x v="6"/>
    <n v="14.533333333333333"/>
    <x v="1"/>
    <n v="36333.333333333336"/>
    <x v="0"/>
  </r>
  <r>
    <x v="18"/>
    <s v="Siya Master"/>
    <n v="27"/>
    <x v="1"/>
    <x v="0"/>
    <d v="2024-03-03T00:00:00"/>
    <d v="2025-01-07T00:00:00"/>
    <n v="800"/>
    <n v="26"/>
    <x v="3"/>
    <x v="6"/>
    <n v="10.333333333333334"/>
    <x v="1"/>
    <n v="8266.6666666666679"/>
    <x v="1"/>
  </r>
  <r>
    <x v="19"/>
    <s v="Madhup Biswas"/>
    <n v="28"/>
    <x v="0"/>
    <x v="2"/>
    <d v="2024-05-05T00:00:00"/>
    <d v="2024-11-12T00:00:00"/>
    <n v="2500"/>
    <n v="21"/>
    <x v="3"/>
    <x v="11"/>
    <n v="6.3666666666666663"/>
    <x v="0"/>
    <n v="15916.666666666666"/>
    <x v="1"/>
  </r>
  <r>
    <x v="20"/>
    <s v="Indrans Ratti"/>
    <n v="57"/>
    <x v="1"/>
    <x v="3"/>
    <d v="2023-08-08T00:00:00"/>
    <d v="2025-01-17T00:00:00"/>
    <n v="1800"/>
    <n v="19"/>
    <x v="3"/>
    <x v="6"/>
    <n v="17.600000000000001"/>
    <x v="1"/>
    <n v="31680.000000000004"/>
    <x v="0"/>
  </r>
  <r>
    <x v="21"/>
    <s v="Kimaya Balay"/>
    <n v="26"/>
    <x v="1"/>
    <x v="3"/>
    <d v="2024-01-29T00:00:00"/>
    <d v="2024-11-20T00:00:00"/>
    <n v="1800"/>
    <n v="5"/>
    <x v="0"/>
    <x v="6"/>
    <n v="9.8666666666666671"/>
    <x v="1"/>
    <n v="17760"/>
    <x v="1"/>
  </r>
  <r>
    <x v="22"/>
    <s v="Eva Dass"/>
    <n v="48"/>
    <x v="0"/>
    <x v="3"/>
    <d v="2024-06-08T00:00:00"/>
    <d v="2024-06-12T00:00:00"/>
    <n v="1800"/>
    <n v="18"/>
    <x v="5"/>
    <x v="6"/>
    <n v="0.13333333333333333"/>
    <x v="1"/>
    <n v="240"/>
    <x v="0"/>
  </r>
  <r>
    <x v="23"/>
    <s v="Pihu Wali"/>
    <n v="25"/>
    <x v="1"/>
    <x v="1"/>
    <d v="2024-05-27T00:00:00"/>
    <d v="2025-03-14T00:00:00"/>
    <n v="1200"/>
    <n v="6"/>
    <x v="0"/>
    <x v="6"/>
    <n v="9.6999999999999993"/>
    <x v="1"/>
    <n v="11640"/>
    <x v="1"/>
  </r>
  <r>
    <x v="24"/>
    <s v="Tiya Rege"/>
    <n v="53"/>
    <x v="0"/>
    <x v="3"/>
    <d v="2023-12-26T00:00:00"/>
    <d v="2024-03-21T00:00:00"/>
    <n v="1800"/>
    <n v="17"/>
    <x v="3"/>
    <x v="12"/>
    <n v="2.8666666666666667"/>
    <x v="0"/>
    <n v="5160"/>
    <x v="0"/>
  </r>
  <r>
    <x v="25"/>
    <s v="Aarav Sen"/>
    <n v="42"/>
    <x v="1"/>
    <x v="1"/>
    <d v="2025-02-14T00:00:00"/>
    <d v="2025-03-11T00:00:00"/>
    <n v="1200"/>
    <n v="3"/>
    <x v="5"/>
    <x v="6"/>
    <n v="0.83333333333333337"/>
    <x v="1"/>
    <n v="1000"/>
    <x v="2"/>
  </r>
  <r>
    <x v="26"/>
    <s v="Dishani Bera"/>
    <n v="24"/>
    <x v="0"/>
    <x v="2"/>
    <d v="2025-02-10T00:00:00"/>
    <d v="2025-03-10T00:00:00"/>
    <n v="2500"/>
    <n v="28"/>
    <x v="3"/>
    <x v="6"/>
    <n v="0.93333333333333335"/>
    <x v="1"/>
    <n v="2333.3333333333335"/>
    <x v="1"/>
  </r>
  <r>
    <x v="27"/>
    <s v="Indrans Grover"/>
    <n v="53"/>
    <x v="0"/>
    <x v="1"/>
    <d v="2024-11-18T00:00:00"/>
    <d v="2024-12-19T00:00:00"/>
    <n v="1200"/>
    <n v="23"/>
    <x v="1"/>
    <x v="6"/>
    <n v="1.0333333333333334"/>
    <x v="1"/>
    <n v="1240.0000000000002"/>
    <x v="0"/>
  </r>
  <r>
    <x v="28"/>
    <s v="Kismat Edwin"/>
    <n v="29"/>
    <x v="1"/>
    <x v="2"/>
    <d v="2024-04-19T00:00:00"/>
    <d v="2024-04-26T00:00:00"/>
    <n v="2500"/>
    <n v="8"/>
    <x v="2"/>
    <x v="6"/>
    <n v="0.23333333333333334"/>
    <x v="1"/>
    <n v="583.33333333333337"/>
    <x v="1"/>
  </r>
  <r>
    <x v="29"/>
    <s v="Taran Vyas"/>
    <n v="31"/>
    <x v="1"/>
    <x v="2"/>
    <d v="2025-01-10T00:00:00"/>
    <d v="2025-03-29T00:00:00"/>
    <n v="2500"/>
    <n v="23"/>
    <x v="4"/>
    <x v="13"/>
    <n v="2.6"/>
    <x v="0"/>
    <n v="6500"/>
    <x v="2"/>
  </r>
  <r>
    <x v="30"/>
    <s v="Jiya Baral"/>
    <n v="52"/>
    <x v="1"/>
    <x v="0"/>
    <d v="2023-06-11T00:00:00"/>
    <d v="2024-12-30T00:00:00"/>
    <n v="800"/>
    <n v="9"/>
    <x v="5"/>
    <x v="14"/>
    <n v="18.933333333333334"/>
    <x v="0"/>
    <n v="15146.666666666666"/>
    <x v="0"/>
  </r>
  <r>
    <x v="31"/>
    <s v="Gokul Sahni"/>
    <n v="20"/>
    <x v="0"/>
    <x v="1"/>
    <d v="2024-04-09T00:00:00"/>
    <d v="2024-11-08T00:00:00"/>
    <n v="1200"/>
    <n v="2"/>
    <x v="3"/>
    <x v="6"/>
    <n v="7.1"/>
    <x v="1"/>
    <n v="8520"/>
    <x v="1"/>
  </r>
  <r>
    <x v="32"/>
    <s v="Prerak Lalla"/>
    <n v="22"/>
    <x v="0"/>
    <x v="0"/>
    <d v="2025-02-11T00:00:00"/>
    <d v="2025-03-24T00:00:00"/>
    <n v="800"/>
    <n v="30"/>
    <x v="3"/>
    <x v="6"/>
    <n v="1.3666666666666667"/>
    <x v="1"/>
    <n v="1093.3333333333333"/>
    <x v="1"/>
  </r>
  <r>
    <x v="33"/>
    <s v="Hrishita Shroff"/>
    <n v="23"/>
    <x v="0"/>
    <x v="3"/>
    <d v="2024-10-23T00:00:00"/>
    <d v="2025-03-05T00:00:00"/>
    <n v="1800"/>
    <n v="23"/>
    <x v="1"/>
    <x v="15"/>
    <n v="4.4333333333333336"/>
    <x v="0"/>
    <n v="7980"/>
    <x v="1"/>
  </r>
  <r>
    <x v="34"/>
    <s v="Oorja Sachar"/>
    <n v="27"/>
    <x v="1"/>
    <x v="1"/>
    <d v="2024-01-21T00:00:00"/>
    <d v="2024-12-26T00:00:00"/>
    <n v="1200"/>
    <n v="27"/>
    <x v="1"/>
    <x v="6"/>
    <n v="11.333333333333334"/>
    <x v="1"/>
    <n v="136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581558-A3B9-4E64-851A-7326111F7F1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16">
    <pivotField showAll="0"/>
    <pivotField showAll="0"/>
    <pivotField showAll="0"/>
    <pivotField showAll="0"/>
    <pivotField axis="axisRow" showAll="0">
      <items count="5">
        <item h="1" x="0"/>
        <item h="1" x="2"/>
        <item x="3"/>
        <item x="1"/>
        <item t="default"/>
      </items>
    </pivotField>
    <pivotField numFmtId="14" showAll="0"/>
    <pivotField numFmtId="14" showAll="0"/>
    <pivotField showAll="0"/>
    <pivotField showAll="0"/>
    <pivotField axis="axisRow" showAll="0">
      <items count="7">
        <item x="0"/>
        <item x="5"/>
        <item x="2"/>
        <item h="1" x="4"/>
        <item x="3"/>
        <item h="1" x="1"/>
        <item t="default"/>
      </items>
    </pivotField>
    <pivotField showAll="0"/>
    <pivotField numFmtId="1" showAll="0"/>
    <pivotField axis="axisRow" showAll="0">
      <items count="3">
        <item x="1"/>
        <item x="0"/>
        <item t="default"/>
      </items>
    </pivotField>
    <pivotField dataField="1" showAll="0"/>
    <pivotField showAll="0"/>
    <pivotField dragToRow="0" dragToCol="0" dragToPage="0" showAll="0" defaultSubtotal="0"/>
  </pivotFields>
  <rowFields count="3">
    <field x="4"/>
    <field x="9"/>
    <field x="12"/>
  </rowFields>
  <rowItems count="21">
    <i>
      <x v="2"/>
    </i>
    <i r="1">
      <x/>
    </i>
    <i r="2">
      <x/>
    </i>
    <i r="1">
      <x v="1"/>
    </i>
    <i r="2">
      <x/>
    </i>
    <i r="1">
      <x v="4"/>
    </i>
    <i r="2">
      <x/>
    </i>
    <i r="2">
      <x v="1"/>
    </i>
    <i>
      <x v="3"/>
    </i>
    <i r="1">
      <x/>
    </i>
    <i r="2">
      <x/>
    </i>
    <i r="2">
      <x v="1"/>
    </i>
    <i r="1">
      <x v="1"/>
    </i>
    <i r="2">
      <x/>
    </i>
    <i r="1">
      <x v="2"/>
    </i>
    <i r="2">
      <x/>
    </i>
    <i r="2">
      <x v="1"/>
    </i>
    <i r="1">
      <x v="4"/>
    </i>
    <i r="2">
      <x/>
    </i>
    <i r="2">
      <x v="1"/>
    </i>
    <i t="grand">
      <x/>
    </i>
  </rowItems>
  <colItems count="1">
    <i/>
  </colItems>
  <dataFields count="1">
    <dataField name="Sum of Total_Revenue" fld="13" baseField="0" baseItem="0"/>
  </dataField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3F36A3-EF29-459D-9039-192391CA690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0" firstHeaderRow="1" firstDataRow="1" firstDataCol="1"/>
  <pivotFields count="16">
    <pivotField showAll="0"/>
    <pivotField showAll="0"/>
    <pivotField showAll="0"/>
    <pivotField showAll="0"/>
    <pivotField showAll="0"/>
    <pivotField numFmtId="14" showAll="0"/>
    <pivotField numFmtId="14" showAll="0"/>
    <pivotField dataField="1" showAll="0"/>
    <pivotField showAll="0"/>
    <pivotField showAll="0"/>
    <pivotField axis="axisRow" showAll="0">
      <items count="17">
        <item x="12"/>
        <item x="14"/>
        <item x="0"/>
        <item x="10"/>
        <item x="2"/>
        <item x="1"/>
        <item x="4"/>
        <item x="13"/>
        <item x="7"/>
        <item x="8"/>
        <item x="9"/>
        <item x="15"/>
        <item x="5"/>
        <item x="11"/>
        <item x="3"/>
        <item x="6"/>
        <item t="default"/>
      </items>
    </pivotField>
    <pivotField numFmtId="1" showAll="0"/>
    <pivotField showAll="0"/>
    <pivotField showAll="0"/>
    <pivotField showAll="0"/>
    <pivotField dragToRow="0" dragToCol="0" dragToPage="0" showAll="0" defaultSubtotal="0"/>
  </pivotFields>
  <rowFields count="1">
    <field x="10"/>
  </rowFields>
  <rowItems count="17">
    <i>
      <x/>
    </i>
    <i>
      <x v="1"/>
    </i>
    <i>
      <x v="2"/>
    </i>
    <i>
      <x v="3"/>
    </i>
    <i>
      <x v="4"/>
    </i>
    <i>
      <x v="5"/>
    </i>
    <i>
      <x v="6"/>
    </i>
    <i>
      <x v="7"/>
    </i>
    <i>
      <x v="8"/>
    </i>
    <i>
      <x v="9"/>
    </i>
    <i>
      <x v="10"/>
    </i>
    <i>
      <x v="11"/>
    </i>
    <i>
      <x v="12"/>
    </i>
    <i>
      <x v="13"/>
    </i>
    <i>
      <x v="14"/>
    </i>
    <i>
      <x v="15"/>
    </i>
    <i t="grand">
      <x/>
    </i>
  </rowItems>
  <colItems count="1">
    <i/>
  </colItems>
  <dataFields count="1">
    <dataField name="Average of Monthly_Fee" fld="7" subtotal="average"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3D9E6-83EA-41C1-B257-E6E8D4D1BE41}"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H9" firstHeaderRow="1" firstDataRow="2" firstDataCol="1"/>
  <pivotFields count="16">
    <pivotField showAll="0"/>
    <pivotField showAll="0"/>
    <pivotField showAll="0"/>
    <pivotField showAll="0"/>
    <pivotField axis="axisRow" showAll="0">
      <items count="5">
        <item x="0"/>
        <item x="2"/>
        <item x="3"/>
        <item x="1"/>
        <item t="default"/>
      </items>
    </pivotField>
    <pivotField numFmtId="14" showAll="0"/>
    <pivotField numFmtId="14" showAll="0"/>
    <pivotField showAll="0"/>
    <pivotField showAll="0"/>
    <pivotField axis="axisCol" showAll="0">
      <items count="7">
        <item x="0"/>
        <item x="5"/>
        <item x="2"/>
        <item x="4"/>
        <item x="3"/>
        <item x="1"/>
        <item t="default"/>
      </items>
    </pivotField>
    <pivotField showAll="0"/>
    <pivotField numFmtId="1" showAll="0"/>
    <pivotField showAll="0"/>
    <pivotField dataField="1" showAll="0"/>
    <pivotField showAll="0"/>
    <pivotField dragToRow="0" dragToCol="0" dragToPage="0" showAll="0" defaultSubtotal="0"/>
  </pivotFields>
  <rowFields count="1">
    <field x="4"/>
  </rowFields>
  <rowItems count="5">
    <i>
      <x/>
    </i>
    <i>
      <x v="1"/>
    </i>
    <i>
      <x v="2"/>
    </i>
    <i>
      <x v="3"/>
    </i>
    <i t="grand">
      <x/>
    </i>
  </rowItems>
  <colFields count="1">
    <field x="9"/>
  </colFields>
  <colItems count="7">
    <i>
      <x/>
    </i>
    <i>
      <x v="1"/>
    </i>
    <i>
      <x v="2"/>
    </i>
    <i>
      <x v="3"/>
    </i>
    <i>
      <x v="4"/>
    </i>
    <i>
      <x v="5"/>
    </i>
    <i t="grand">
      <x/>
    </i>
  </colItems>
  <dataFields count="1">
    <dataField name="Sum of Total_Revenue" fld="13"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2" xr10:uid="{04CB6F5D-F91E-41C4-846C-45DC4D1D8996}" sourceName="Membership_Type">
  <pivotTables>
    <pivotTable tabId="8" name="PivotTable5"/>
  </pivotTables>
  <data>
    <tabular pivotCacheId="2029217556">
      <items count="4">
        <i x="0"/>
        <i x="2"/>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2" xr10:uid="{7A9F703F-D4D9-461F-9D92-C6088F052DC6}" sourceName="REFERRED">
  <pivotTables>
    <pivotTable tabId="8" name="PivotTable5"/>
  </pivotTables>
  <data>
    <tabular pivotCacheId="20292175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B7F5EBF9-FB8F-4A68-9246-54924EFE3EA4}" sourceName="City">
  <pivotTables>
    <pivotTable tabId="8" name="PivotTable5"/>
  </pivotTables>
  <data>
    <tabular pivotCacheId="2029217556">
      <items count="6">
        <i x="0" s="1"/>
        <i x="5" s="1"/>
        <i x="2" s="1"/>
        <i x="4"/>
        <i x="3"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ship_Type 3" xr10:uid="{E2906EA8-AA38-4C8A-96F7-DDA0BE958346}" cache="Slicer_Membership_Type2" caption="Membership_Type" rowHeight="234950"/>
  <slicer name="REFERRED 2" xr10:uid="{DAF35773-4FB0-4F00-BF9C-A59B8E1C6DE8}" cache="Slicer_REFERRED2" caption="REFERRED" rowHeight="234950"/>
  <slicer name="City 2" xr10:uid="{447D8232-0233-4FBE-8374-C4E1C6678BA9}" cache="Slicer_City2"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8B0161-5B41-4A9F-A623-23CFBD03C7D5}" name="Table1" displayName="Table1" ref="A1:O36" totalsRowShown="0" headerRowDxfId="6" dataDxfId="7">
  <autoFilter ref="A1:O36" xr:uid="{D48B0161-5B41-4A9F-A623-23CFBD03C7D5}"/>
  <tableColumns count="15">
    <tableColumn id="1" xr3:uid="{3499AC7D-A49C-4301-BA55-54911E590C75}" name="Column1" dataDxfId="15"/>
    <tableColumn id="2" xr3:uid="{BF2D2A62-761E-4DC3-B40E-22D8B4257225}" name="Full_Name" dataDxfId="14"/>
    <tableColumn id="3" xr3:uid="{D9716336-D8F8-4497-B4FA-46034ECF00E8}" name="Age" dataDxfId="13"/>
    <tableColumn id="4" xr3:uid="{5D2E7B65-0397-44DA-8274-FC2A4120B7BB}" name="Gender" dataDxfId="12"/>
    <tableColumn id="5" xr3:uid="{13AEEED3-DA61-4F15-AC59-EA51F7567541}" name="Membership_Type" dataDxfId="11"/>
    <tableColumn id="6" xr3:uid="{C9B0CC3C-5FE9-436D-8D79-46A85639EE7B}" name="Start_Date" dataDxfId="5"/>
    <tableColumn id="7" xr3:uid="{E61E4F71-0BAB-4483-97D6-CFE16B250D37}" name="End_Date" dataDxfId="4"/>
    <tableColumn id="8" xr3:uid="{CB1AE2D0-99A4-4AB0-B50A-3E6BD089C60D}" name="Monthly_Fee" dataDxfId="10"/>
    <tableColumn id="9" xr3:uid="{A2490B59-F1D3-4D01-BAC7-985295FA096C}" name="Attendance" dataDxfId="9"/>
    <tableColumn id="10" xr3:uid="{4D96FBF2-E423-4409-9F26-5489ED35567E}" name="City" dataDxfId="8"/>
    <tableColumn id="11" xr3:uid="{FBFA64AF-F7A6-49BD-B089-DFC96757A921}" name="Referred_By"/>
    <tableColumn id="12" xr3:uid="{C77F1DE6-0CB0-45B6-8D6B-056FFD933189}" name="Membership_Duration_Months" dataDxfId="3">
      <calculatedColumnFormula>(Table1[[#This Row],[End_Date]]-Table1[[#This Row],[Start_Date]])/30</calculatedColumnFormula>
    </tableColumn>
    <tableColumn id="13" xr3:uid="{824EA8EA-E52F-4396-B90E-8271D2977B2B}" name="REFERRED" dataDxfId="2">
      <calculatedColumnFormula>IF(Table1[[#This Row],[Referred_By]]="","NO","YES")</calculatedColumnFormula>
    </tableColumn>
    <tableColumn id="14" xr3:uid="{E2C4C030-92D5-440D-A5C1-2DD2DD796896}" name="Total_Revenue" dataDxfId="1">
      <calculatedColumnFormula>Table1[[#This Row],[Monthly_Fee]]*Table1[[#This Row],[Membership_Duration_Months]]</calculatedColumnFormula>
    </tableColumn>
    <tableColumn id="15" xr3:uid="{824FB765-6C97-4C5C-966C-65EC596D7811}" name="AGE_DISTRIBUTION" dataDxfId="0">
      <calculatedColumnFormula>IF(Table1[[#This Row],[Age]]&lt;=30,"YOUTH",IF(Table1[[#This Row],[Age]]&lt;=45,"ADULT","SENIOR"))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F0788-9DDE-41C0-A97D-CC119C4EDCCF}">
  <dimension ref="A1"/>
  <sheetViews>
    <sheetView tabSelected="1" workbookViewId="0">
      <selection activeCell="G25" sqref="G2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zoomScale="96" workbookViewId="0">
      <selection activeCell="D16" sqref="A2:O36"/>
    </sheetView>
  </sheetViews>
  <sheetFormatPr defaultColWidth="14.44140625" defaultRowHeight="15" customHeight="1"/>
  <cols>
    <col min="1" max="1" width="10.6640625" customWidth="1"/>
    <col min="2" max="2" width="14.88671875" bestFit="1" customWidth="1"/>
    <col min="3" max="3" width="6.33203125" customWidth="1"/>
    <col min="4" max="4" width="9.21875" customWidth="1"/>
    <col min="5" max="5" width="18.88671875" customWidth="1"/>
    <col min="6" max="6" width="12" style="5" customWidth="1"/>
    <col min="7" max="7" width="11.21875" style="5" customWidth="1"/>
    <col min="8" max="8" width="14.21875" customWidth="1"/>
    <col min="9" max="9" width="12.88671875" customWidth="1"/>
    <col min="10" max="10" width="9.77734375" bestFit="1" customWidth="1"/>
    <col min="11" max="11" width="17.5546875" bestFit="1" customWidth="1"/>
    <col min="12" max="12" width="15.33203125" style="10" customWidth="1"/>
    <col min="13" max="13" width="14.33203125" bestFit="1" customWidth="1"/>
    <col min="14" max="14" width="30.109375" bestFit="1" customWidth="1"/>
    <col min="15" max="15" width="22.6640625" bestFit="1" customWidth="1"/>
    <col min="16" max="16" width="51.21875" bestFit="1" customWidth="1"/>
    <col min="17" max="26" width="8.6640625" customWidth="1"/>
  </cols>
  <sheetData>
    <row r="1" spans="1:15" ht="14.4">
      <c r="A1" s="1" t="s">
        <v>108</v>
      </c>
      <c r="B1" s="1" t="s">
        <v>0</v>
      </c>
      <c r="C1" s="1" t="s">
        <v>1</v>
      </c>
      <c r="D1" s="1" t="s">
        <v>2</v>
      </c>
      <c r="E1" s="1" t="s">
        <v>3</v>
      </c>
      <c r="F1" s="4" t="s">
        <v>4</v>
      </c>
      <c r="G1" s="4" t="s">
        <v>5</v>
      </c>
      <c r="H1" s="1" t="s">
        <v>6</v>
      </c>
      <c r="I1" s="1" t="s">
        <v>7</v>
      </c>
      <c r="J1" s="1" t="s">
        <v>8</v>
      </c>
      <c r="K1" s="1" t="s">
        <v>9</v>
      </c>
      <c r="L1" s="9" t="s">
        <v>107</v>
      </c>
      <c r="M1" s="11" t="s">
        <v>109</v>
      </c>
      <c r="N1" s="12" t="s">
        <v>110</v>
      </c>
      <c r="O1" s="8" t="s">
        <v>111</v>
      </c>
    </row>
    <row r="2" spans="1:15" ht="14.4">
      <c r="A2" s="2" t="s">
        <v>10</v>
      </c>
      <c r="B2" s="2" t="s">
        <v>11</v>
      </c>
      <c r="C2" s="2">
        <v>59</v>
      </c>
      <c r="D2" s="2" t="s">
        <v>12</v>
      </c>
      <c r="E2" s="2" t="s">
        <v>13</v>
      </c>
      <c r="F2" s="3">
        <v>45235</v>
      </c>
      <c r="G2" s="3">
        <v>45425</v>
      </c>
      <c r="H2" s="2">
        <v>800</v>
      </c>
      <c r="I2" s="2">
        <v>25</v>
      </c>
      <c r="J2" s="2" t="s">
        <v>14</v>
      </c>
      <c r="K2" s="2" t="s">
        <v>15</v>
      </c>
      <c r="L2" s="10">
        <f>(Table1[[#This Row],[End_Date]]-Table1[[#This Row],[Start_Date]])/30</f>
        <v>6.333333333333333</v>
      </c>
      <c r="M2" s="7" t="str">
        <f>IF(Table1[[#This Row],[Referred_By]]="","NO","YES")</f>
        <v>YES</v>
      </c>
      <c r="N2" s="6">
        <f>Table1[[#This Row],[Monthly_Fee]]*Table1[[#This Row],[Membership_Duration_Months]]</f>
        <v>5066.6666666666661</v>
      </c>
      <c r="O2" s="7" t="str">
        <f>IF(Table1[[#This Row],[Age]]&lt;=30,"YOUTH",IF(Table1[[#This Row],[Age]]&lt;=45,"ADULT","SENIOR"))</f>
        <v>SENIOR</v>
      </c>
    </row>
    <row r="3" spans="1:15" ht="14.4">
      <c r="A3" s="2" t="s">
        <v>16</v>
      </c>
      <c r="B3" s="2" t="s">
        <v>17</v>
      </c>
      <c r="C3" s="2">
        <v>27</v>
      </c>
      <c r="D3" s="2" t="s">
        <v>12</v>
      </c>
      <c r="E3" s="2" t="s">
        <v>13</v>
      </c>
      <c r="F3" s="3">
        <v>45714</v>
      </c>
      <c r="G3" s="3">
        <v>45740</v>
      </c>
      <c r="H3" s="2">
        <v>800</v>
      </c>
      <c r="I3" s="2">
        <v>20</v>
      </c>
      <c r="J3" s="2" t="s">
        <v>18</v>
      </c>
      <c r="K3" s="2" t="s">
        <v>19</v>
      </c>
      <c r="L3" s="10">
        <f>(Table1[[#This Row],[End_Date]]-Table1[[#This Row],[Start_Date]])/30</f>
        <v>0.8666666666666667</v>
      </c>
      <c r="M3" s="7" t="str">
        <f>IF(Table1[[#This Row],[Referred_By]]="","NO","YES")</f>
        <v>YES</v>
      </c>
      <c r="N3" s="6">
        <f>Table1[[#This Row],[Monthly_Fee]]*Table1[[#This Row],[Membership_Duration_Months]]</f>
        <v>693.33333333333337</v>
      </c>
      <c r="O3" s="7" t="str">
        <f>IF(Table1[[#This Row],[Age]]&lt;=30,"YOUTH",IF(Table1[[#This Row],[Age]]&lt;=45,"ADULT","SENIOR"))</f>
        <v>YOUTH</v>
      </c>
    </row>
    <row r="4" spans="1:15" ht="14.4">
      <c r="A4" s="2" t="s">
        <v>20</v>
      </c>
      <c r="B4" s="2" t="s">
        <v>21</v>
      </c>
      <c r="C4" s="2">
        <v>24</v>
      </c>
      <c r="D4" s="2" t="s">
        <v>12</v>
      </c>
      <c r="E4" s="2" t="s">
        <v>22</v>
      </c>
      <c r="F4" s="3">
        <v>45191</v>
      </c>
      <c r="G4" s="3">
        <v>45371</v>
      </c>
      <c r="H4" s="2">
        <v>1200</v>
      </c>
      <c r="I4" s="2">
        <v>18</v>
      </c>
      <c r="J4" s="2" t="s">
        <v>23</v>
      </c>
      <c r="K4" s="2" t="s">
        <v>24</v>
      </c>
      <c r="L4" s="10">
        <f>(Table1[[#This Row],[End_Date]]-Table1[[#This Row],[Start_Date]])/30</f>
        <v>6</v>
      </c>
      <c r="M4" s="7" t="str">
        <f>IF(Table1[[#This Row],[Referred_By]]="","NO","YES")</f>
        <v>YES</v>
      </c>
      <c r="N4" s="6">
        <f>Table1[[#This Row],[Monthly_Fee]]*Table1[[#This Row],[Membership_Duration_Months]]</f>
        <v>7200</v>
      </c>
      <c r="O4" s="7" t="str">
        <f>IF(Table1[[#This Row],[Age]]&lt;=30,"YOUTH",IF(Table1[[#This Row],[Age]]&lt;=45,"ADULT","SENIOR"))</f>
        <v>YOUTH</v>
      </c>
    </row>
    <row r="5" spans="1:15" ht="14.4">
      <c r="A5" s="2" t="s">
        <v>25</v>
      </c>
      <c r="B5" s="2" t="s">
        <v>26</v>
      </c>
      <c r="C5" s="2">
        <v>31</v>
      </c>
      <c r="D5" s="2" t="s">
        <v>27</v>
      </c>
      <c r="E5" s="2" t="s">
        <v>22</v>
      </c>
      <c r="F5" s="3">
        <v>45479</v>
      </c>
      <c r="G5" s="3">
        <v>45587</v>
      </c>
      <c r="H5" s="2">
        <v>1200</v>
      </c>
      <c r="I5" s="2">
        <v>16</v>
      </c>
      <c r="J5" s="2" t="s">
        <v>23</v>
      </c>
      <c r="K5" s="2" t="s">
        <v>28</v>
      </c>
      <c r="L5" s="10">
        <f>(Table1[[#This Row],[End_Date]]-Table1[[#This Row],[Start_Date]])/30</f>
        <v>3.6</v>
      </c>
      <c r="M5" s="7" t="str">
        <f>IF(Table1[[#This Row],[Referred_By]]="","NO","YES")</f>
        <v>YES</v>
      </c>
      <c r="N5" s="6">
        <f>Table1[[#This Row],[Monthly_Fee]]*Table1[[#This Row],[Membership_Duration_Months]]</f>
        <v>4320</v>
      </c>
      <c r="O5" s="7" t="str">
        <f>IF(Table1[[#This Row],[Age]]&lt;=30,"YOUTH",IF(Table1[[#This Row],[Age]]&lt;=45,"ADULT","SENIOR"))</f>
        <v>ADULT</v>
      </c>
    </row>
    <row r="6" spans="1:15" ht="14.4">
      <c r="A6" s="2" t="s">
        <v>29</v>
      </c>
      <c r="B6" s="2" t="s">
        <v>30</v>
      </c>
      <c r="C6" s="2">
        <v>19</v>
      </c>
      <c r="D6" s="2" t="s">
        <v>12</v>
      </c>
      <c r="E6" s="2" t="s">
        <v>31</v>
      </c>
      <c r="F6" s="3">
        <v>45286</v>
      </c>
      <c r="G6" s="3">
        <v>45501</v>
      </c>
      <c r="H6" s="2">
        <v>2500</v>
      </c>
      <c r="I6" s="2">
        <v>12</v>
      </c>
      <c r="J6" s="2" t="s">
        <v>14</v>
      </c>
      <c r="K6" s="2" t="s">
        <v>32</v>
      </c>
      <c r="L6" s="10">
        <f>(Table1[[#This Row],[End_Date]]-Table1[[#This Row],[Start_Date]])/30</f>
        <v>7.166666666666667</v>
      </c>
      <c r="M6" s="7" t="str">
        <f>IF(Table1[[#This Row],[Referred_By]]="","NO","YES")</f>
        <v>YES</v>
      </c>
      <c r="N6" s="6">
        <f>Table1[[#This Row],[Monthly_Fee]]*Table1[[#This Row],[Membership_Duration_Months]]</f>
        <v>17916.666666666668</v>
      </c>
      <c r="O6" s="7" t="str">
        <f>IF(Table1[[#This Row],[Age]]&lt;=30,"YOUTH",IF(Table1[[#This Row],[Age]]&lt;=45,"ADULT","SENIOR"))</f>
        <v>YOUTH</v>
      </c>
    </row>
    <row r="7" spans="1:15" ht="14.4">
      <c r="A7" s="2" t="s">
        <v>33</v>
      </c>
      <c r="B7" s="2" t="s">
        <v>34</v>
      </c>
      <c r="C7" s="2">
        <v>40</v>
      </c>
      <c r="D7" s="2" t="s">
        <v>12</v>
      </c>
      <c r="E7" s="2" t="s">
        <v>13</v>
      </c>
      <c r="F7" s="3">
        <v>45317</v>
      </c>
      <c r="G7" s="3">
        <v>45392</v>
      </c>
      <c r="H7" s="2">
        <v>800</v>
      </c>
      <c r="I7" s="2">
        <v>14</v>
      </c>
      <c r="J7" s="2" t="s">
        <v>35</v>
      </c>
      <c r="K7" s="2" t="s">
        <v>36</v>
      </c>
      <c r="L7" s="10">
        <f>(Table1[[#This Row],[End_Date]]-Table1[[#This Row],[Start_Date]])/30</f>
        <v>2.5</v>
      </c>
      <c r="M7" s="7" t="str">
        <f>IF(Table1[[#This Row],[Referred_By]]="","NO","YES")</f>
        <v>YES</v>
      </c>
      <c r="N7" s="6">
        <f>Table1[[#This Row],[Monthly_Fee]]*Table1[[#This Row],[Membership_Duration_Months]]</f>
        <v>2000</v>
      </c>
      <c r="O7" s="7" t="str">
        <f>IF(Table1[[#This Row],[Age]]&lt;=30,"YOUTH",IF(Table1[[#This Row],[Age]]&lt;=45,"ADULT","SENIOR"))</f>
        <v>ADULT</v>
      </c>
    </row>
    <row r="8" spans="1:15" ht="14.4">
      <c r="A8" s="2" t="s">
        <v>37</v>
      </c>
      <c r="B8" s="2" t="s">
        <v>38</v>
      </c>
      <c r="C8" s="2">
        <v>41</v>
      </c>
      <c r="D8" s="2" t="s">
        <v>27</v>
      </c>
      <c r="E8" s="2" t="s">
        <v>13</v>
      </c>
      <c r="F8" s="3">
        <v>45588</v>
      </c>
      <c r="G8" s="3">
        <v>45677</v>
      </c>
      <c r="H8" s="2">
        <v>800</v>
      </c>
      <c r="I8" s="2">
        <v>25</v>
      </c>
      <c r="J8" s="2" t="s">
        <v>18</v>
      </c>
      <c r="L8" s="10">
        <f>(Table1[[#This Row],[End_Date]]-Table1[[#This Row],[Start_Date]])/30</f>
        <v>2.9666666666666668</v>
      </c>
      <c r="M8" s="7" t="str">
        <f>IF(Table1[[#This Row],[Referred_By]]="","NO","YES")</f>
        <v>NO</v>
      </c>
      <c r="N8" s="6">
        <f>Table1[[#This Row],[Monthly_Fee]]*Table1[[#This Row],[Membership_Duration_Months]]</f>
        <v>2373.3333333333335</v>
      </c>
      <c r="O8" s="7" t="str">
        <f>IF(Table1[[#This Row],[Age]]&lt;=30,"YOUTH",IF(Table1[[#This Row],[Age]]&lt;=45,"ADULT","SENIOR"))</f>
        <v>ADULT</v>
      </c>
    </row>
    <row r="9" spans="1:15" ht="14.4">
      <c r="A9" s="2" t="s">
        <v>39</v>
      </c>
      <c r="B9" s="2" t="s">
        <v>40</v>
      </c>
      <c r="C9" s="2">
        <v>43</v>
      </c>
      <c r="D9" s="2" t="s">
        <v>12</v>
      </c>
      <c r="E9" s="2" t="s">
        <v>41</v>
      </c>
      <c r="F9" s="3">
        <v>45450</v>
      </c>
      <c r="G9" s="3">
        <v>45563</v>
      </c>
      <c r="H9" s="2">
        <v>1800</v>
      </c>
      <c r="I9" s="2">
        <v>28</v>
      </c>
      <c r="J9" s="2" t="s">
        <v>42</v>
      </c>
      <c r="L9" s="10">
        <f>(Table1[[#This Row],[End_Date]]-Table1[[#This Row],[Start_Date]])/30</f>
        <v>3.7666666666666666</v>
      </c>
      <c r="M9" s="7" t="str">
        <f>IF(Table1[[#This Row],[Referred_By]]="","NO","YES")</f>
        <v>NO</v>
      </c>
      <c r="N9" s="6">
        <f>Table1[[#This Row],[Monthly_Fee]]*Table1[[#This Row],[Membership_Duration_Months]]</f>
        <v>6780</v>
      </c>
      <c r="O9" s="7" t="str">
        <f>IF(Table1[[#This Row],[Age]]&lt;=30,"YOUTH",IF(Table1[[#This Row],[Age]]&lt;=45,"ADULT","SENIOR"))</f>
        <v>ADULT</v>
      </c>
    </row>
    <row r="10" spans="1:15" ht="14.4">
      <c r="A10" s="2" t="s">
        <v>43</v>
      </c>
      <c r="B10" s="2" t="s">
        <v>44</v>
      </c>
      <c r="C10" s="2">
        <v>42</v>
      </c>
      <c r="D10" s="2" t="s">
        <v>12</v>
      </c>
      <c r="E10" s="2" t="s">
        <v>13</v>
      </c>
      <c r="F10" s="3">
        <v>45569</v>
      </c>
      <c r="G10" s="3">
        <v>45582</v>
      </c>
      <c r="H10" s="2">
        <v>800</v>
      </c>
      <c r="I10" s="2">
        <v>3</v>
      </c>
      <c r="J10" s="2" t="s">
        <v>42</v>
      </c>
      <c r="K10" s="2" t="s">
        <v>45</v>
      </c>
      <c r="L10" s="10">
        <f>(Table1[[#This Row],[End_Date]]-Table1[[#This Row],[Start_Date]])/30</f>
        <v>0.43333333333333335</v>
      </c>
      <c r="M10" s="7" t="str">
        <f>IF(Table1[[#This Row],[Referred_By]]="","NO","YES")</f>
        <v>YES</v>
      </c>
      <c r="N10" s="6">
        <f>Table1[[#This Row],[Monthly_Fee]]*Table1[[#This Row],[Membership_Duration_Months]]</f>
        <v>346.66666666666669</v>
      </c>
      <c r="O10" s="7" t="str">
        <f>IF(Table1[[#This Row],[Age]]&lt;=30,"YOUTH",IF(Table1[[#This Row],[Age]]&lt;=45,"ADULT","SENIOR"))</f>
        <v>ADULT</v>
      </c>
    </row>
    <row r="11" spans="1:15" ht="14.4">
      <c r="A11" s="2" t="s">
        <v>46</v>
      </c>
      <c r="B11" s="2" t="s">
        <v>47</v>
      </c>
      <c r="C11" s="2">
        <v>37</v>
      </c>
      <c r="D11" s="2" t="s">
        <v>12</v>
      </c>
      <c r="E11" s="2" t="s">
        <v>22</v>
      </c>
      <c r="F11" s="3">
        <v>45202</v>
      </c>
      <c r="G11" s="3">
        <v>45280</v>
      </c>
      <c r="H11" s="2">
        <v>1200</v>
      </c>
      <c r="I11" s="2">
        <v>29</v>
      </c>
      <c r="J11" s="2" t="s">
        <v>35</v>
      </c>
      <c r="K11" s="2" t="s">
        <v>48</v>
      </c>
      <c r="L11" s="10">
        <f>(Table1[[#This Row],[End_Date]]-Table1[[#This Row],[Start_Date]])/30</f>
        <v>2.6</v>
      </c>
      <c r="M11" s="7" t="str">
        <f>IF(Table1[[#This Row],[Referred_By]]="","NO","YES")</f>
        <v>YES</v>
      </c>
      <c r="N11" s="6">
        <f>Table1[[#This Row],[Monthly_Fee]]*Table1[[#This Row],[Membership_Duration_Months]]</f>
        <v>3120</v>
      </c>
      <c r="O11" s="7" t="str">
        <f>IF(Table1[[#This Row],[Age]]&lt;=30,"YOUTH",IF(Table1[[#This Row],[Age]]&lt;=45,"ADULT","SENIOR"))</f>
        <v>ADULT</v>
      </c>
    </row>
    <row r="12" spans="1:15" ht="14.4">
      <c r="A12" s="2" t="s">
        <v>49</v>
      </c>
      <c r="B12" s="2" t="s">
        <v>50</v>
      </c>
      <c r="C12" s="2">
        <v>48</v>
      </c>
      <c r="D12" s="2" t="s">
        <v>27</v>
      </c>
      <c r="E12" s="2" t="s">
        <v>22</v>
      </c>
      <c r="F12" s="3">
        <v>45297</v>
      </c>
      <c r="G12" s="3">
        <v>45459</v>
      </c>
      <c r="H12" s="2">
        <v>1200</v>
      </c>
      <c r="I12" s="2">
        <v>13</v>
      </c>
      <c r="J12" s="2" t="s">
        <v>14</v>
      </c>
      <c r="K12" s="2" t="s">
        <v>51</v>
      </c>
      <c r="L12" s="10">
        <f>(Table1[[#This Row],[End_Date]]-Table1[[#This Row],[Start_Date]])/30</f>
        <v>5.4</v>
      </c>
      <c r="M12" s="7" t="str">
        <f>IF(Table1[[#This Row],[Referred_By]]="","NO","YES")</f>
        <v>YES</v>
      </c>
      <c r="N12" s="6">
        <f>Table1[[#This Row],[Monthly_Fee]]*Table1[[#This Row],[Membership_Duration_Months]]</f>
        <v>6480</v>
      </c>
      <c r="O12" s="7" t="str">
        <f>IF(Table1[[#This Row],[Age]]&lt;=30,"YOUTH",IF(Table1[[#This Row],[Age]]&lt;=45,"ADULT","SENIOR"))</f>
        <v>SENIOR</v>
      </c>
    </row>
    <row r="13" spans="1:15" ht="14.4">
      <c r="A13" s="2" t="s">
        <v>52</v>
      </c>
      <c r="B13" s="2" t="s">
        <v>53</v>
      </c>
      <c r="C13" s="2">
        <v>36</v>
      </c>
      <c r="D13" s="2" t="s">
        <v>12</v>
      </c>
      <c r="E13" s="2" t="s">
        <v>22</v>
      </c>
      <c r="F13" s="3">
        <v>45154</v>
      </c>
      <c r="G13" s="3">
        <v>45568</v>
      </c>
      <c r="H13" s="2">
        <v>1200</v>
      </c>
      <c r="I13" s="2">
        <v>19</v>
      </c>
      <c r="J13" s="2" t="s">
        <v>42</v>
      </c>
      <c r="K13" s="2" t="s">
        <v>54</v>
      </c>
      <c r="L13" s="10">
        <f>(Table1[[#This Row],[End_Date]]-Table1[[#This Row],[Start_Date]])/30</f>
        <v>13.8</v>
      </c>
      <c r="M13" s="7" t="str">
        <f>IF(Table1[[#This Row],[Referred_By]]="","NO","YES")</f>
        <v>YES</v>
      </c>
      <c r="N13" s="6">
        <f>Table1[[#This Row],[Monthly_Fee]]*Table1[[#This Row],[Membership_Duration_Months]]</f>
        <v>16560</v>
      </c>
      <c r="O13" s="7" t="str">
        <f>IF(Table1[[#This Row],[Age]]&lt;=30,"YOUTH",IF(Table1[[#This Row],[Age]]&lt;=45,"ADULT","SENIOR"))</f>
        <v>ADULT</v>
      </c>
    </row>
    <row r="14" spans="1:15" ht="14.4">
      <c r="A14" s="2" t="s">
        <v>55</v>
      </c>
      <c r="B14" s="2" t="s">
        <v>56</v>
      </c>
      <c r="C14" s="2">
        <v>48</v>
      </c>
      <c r="D14" s="2" t="s">
        <v>27</v>
      </c>
      <c r="E14" s="2" t="s">
        <v>41</v>
      </c>
      <c r="F14" s="3">
        <v>45556</v>
      </c>
      <c r="G14" s="3">
        <v>45641</v>
      </c>
      <c r="H14" s="2">
        <v>1800</v>
      </c>
      <c r="I14" s="2">
        <v>22</v>
      </c>
      <c r="J14" s="2" t="s">
        <v>42</v>
      </c>
      <c r="L14" s="10">
        <f>(Table1[[#This Row],[End_Date]]-Table1[[#This Row],[Start_Date]])/30</f>
        <v>2.8333333333333335</v>
      </c>
      <c r="M14" s="7" t="str">
        <f>IF(Table1[[#This Row],[Referred_By]]="","NO","YES")</f>
        <v>NO</v>
      </c>
      <c r="N14" s="6">
        <f>Table1[[#This Row],[Monthly_Fee]]*Table1[[#This Row],[Membership_Duration_Months]]</f>
        <v>5100</v>
      </c>
      <c r="O14" s="7" t="str">
        <f>IF(Table1[[#This Row],[Age]]&lt;=30,"YOUTH",IF(Table1[[#This Row],[Age]]&lt;=45,"ADULT","SENIOR"))</f>
        <v>SENIOR</v>
      </c>
    </row>
    <row r="15" spans="1:15" ht="14.4">
      <c r="A15" s="2" t="s">
        <v>57</v>
      </c>
      <c r="B15" s="2" t="s">
        <v>58</v>
      </c>
      <c r="C15" s="2">
        <v>39</v>
      </c>
      <c r="D15" s="2" t="s">
        <v>12</v>
      </c>
      <c r="E15" s="2" t="s">
        <v>22</v>
      </c>
      <c r="F15" s="3">
        <v>45065</v>
      </c>
      <c r="G15" s="3">
        <v>45242</v>
      </c>
      <c r="H15" s="2">
        <v>1200</v>
      </c>
      <c r="I15" s="2">
        <v>28</v>
      </c>
      <c r="J15" s="2" t="s">
        <v>35</v>
      </c>
      <c r="L15" s="10">
        <f>(Table1[[#This Row],[End_Date]]-Table1[[#This Row],[Start_Date]])/30</f>
        <v>5.9</v>
      </c>
      <c r="M15" s="7" t="str">
        <f>IF(Table1[[#This Row],[Referred_By]]="","NO","YES")</f>
        <v>NO</v>
      </c>
      <c r="N15" s="6">
        <f>Table1[[#This Row],[Monthly_Fee]]*Table1[[#This Row],[Membership_Duration_Months]]</f>
        <v>7080</v>
      </c>
      <c r="O15" s="7" t="str">
        <f>IF(Table1[[#This Row],[Age]]&lt;=30,"YOUTH",IF(Table1[[#This Row],[Age]]&lt;=45,"ADULT","SENIOR"))</f>
        <v>ADULT</v>
      </c>
    </row>
    <row r="16" spans="1:15" ht="14.4">
      <c r="A16" s="2" t="s">
        <v>59</v>
      </c>
      <c r="B16" s="2" t="s">
        <v>60</v>
      </c>
      <c r="C16" s="2">
        <v>44</v>
      </c>
      <c r="D16" s="2" t="s">
        <v>27</v>
      </c>
      <c r="E16" s="2" t="s">
        <v>13</v>
      </c>
      <c r="F16" s="3">
        <v>45333</v>
      </c>
      <c r="G16" s="3">
        <v>45540</v>
      </c>
      <c r="H16" s="2">
        <v>800</v>
      </c>
      <c r="I16" s="2">
        <v>8</v>
      </c>
      <c r="J16" s="2" t="s">
        <v>23</v>
      </c>
      <c r="L16" s="10">
        <f>(Table1[[#This Row],[End_Date]]-Table1[[#This Row],[Start_Date]])/30</f>
        <v>6.9</v>
      </c>
      <c r="M16" s="7" t="str">
        <f>IF(Table1[[#This Row],[Referred_By]]="","NO","YES")</f>
        <v>NO</v>
      </c>
      <c r="N16" s="6">
        <f>Table1[[#This Row],[Monthly_Fee]]*Table1[[#This Row],[Membership_Duration_Months]]</f>
        <v>5520</v>
      </c>
      <c r="O16" s="7" t="str">
        <f>IF(Table1[[#This Row],[Age]]&lt;=30,"YOUTH",IF(Table1[[#This Row],[Age]]&lt;=45,"ADULT","SENIOR"))</f>
        <v>ADULT</v>
      </c>
    </row>
    <row r="17" spans="1:15" ht="14.4">
      <c r="A17" s="2" t="s">
        <v>61</v>
      </c>
      <c r="B17" s="2" t="s">
        <v>62</v>
      </c>
      <c r="C17" s="2">
        <v>39</v>
      </c>
      <c r="D17" s="2" t="s">
        <v>12</v>
      </c>
      <c r="E17" s="2" t="s">
        <v>31</v>
      </c>
      <c r="F17" s="3">
        <v>45702</v>
      </c>
      <c r="G17" s="3">
        <v>45732</v>
      </c>
      <c r="H17" s="2">
        <v>2500</v>
      </c>
      <c r="I17" s="2">
        <v>14</v>
      </c>
      <c r="J17" s="2" t="s">
        <v>42</v>
      </c>
      <c r="L17" s="10">
        <f>(Table1[[#This Row],[End_Date]]-Table1[[#This Row],[Start_Date]])/30</f>
        <v>1</v>
      </c>
      <c r="M17" s="7" t="str">
        <f>IF(Table1[[#This Row],[Referred_By]]="","NO","YES")</f>
        <v>NO</v>
      </c>
      <c r="N17" s="6">
        <f>Table1[[#This Row],[Monthly_Fee]]*Table1[[#This Row],[Membership_Duration_Months]]</f>
        <v>2500</v>
      </c>
      <c r="O17" s="7" t="str">
        <f>IF(Table1[[#This Row],[Age]]&lt;=30,"YOUTH",IF(Table1[[#This Row],[Age]]&lt;=45,"ADULT","SENIOR"))</f>
        <v>ADULT</v>
      </c>
    </row>
    <row r="18" spans="1:15" ht="14.4">
      <c r="A18" s="2" t="s">
        <v>63</v>
      </c>
      <c r="B18" s="2" t="s">
        <v>64</v>
      </c>
      <c r="C18" s="2">
        <v>35</v>
      </c>
      <c r="D18" s="2" t="s">
        <v>12</v>
      </c>
      <c r="E18" s="2" t="s">
        <v>22</v>
      </c>
      <c r="F18" s="3">
        <v>45329</v>
      </c>
      <c r="G18" s="3">
        <v>45685</v>
      </c>
      <c r="H18" s="2">
        <v>1200</v>
      </c>
      <c r="I18" s="2">
        <v>25</v>
      </c>
      <c r="J18" s="2" t="s">
        <v>23</v>
      </c>
      <c r="L18" s="10">
        <f>(Table1[[#This Row],[End_Date]]-Table1[[#This Row],[Start_Date]])/30</f>
        <v>11.866666666666667</v>
      </c>
      <c r="M18" s="7" t="str">
        <f>IF(Table1[[#This Row],[Referred_By]]="","NO","YES")</f>
        <v>NO</v>
      </c>
      <c r="N18" s="6">
        <f>Table1[[#This Row],[Monthly_Fee]]*Table1[[#This Row],[Membership_Duration_Months]]</f>
        <v>14240</v>
      </c>
      <c r="O18" s="7" t="str">
        <f>IF(Table1[[#This Row],[Age]]&lt;=30,"YOUTH",IF(Table1[[#This Row],[Age]]&lt;=45,"ADULT","SENIOR"))</f>
        <v>ADULT</v>
      </c>
    </row>
    <row r="19" spans="1:15" ht="14.4">
      <c r="A19" s="2" t="s">
        <v>65</v>
      </c>
      <c r="B19" s="2" t="s">
        <v>66</v>
      </c>
      <c r="C19" s="2">
        <v>56</v>
      </c>
      <c r="D19" s="2" t="s">
        <v>27</v>
      </c>
      <c r="E19" s="2" t="s">
        <v>31</v>
      </c>
      <c r="F19" s="3">
        <v>45213</v>
      </c>
      <c r="G19" s="3">
        <v>45649</v>
      </c>
      <c r="H19" s="2">
        <v>2500</v>
      </c>
      <c r="I19" s="2">
        <v>13</v>
      </c>
      <c r="J19" s="2" t="s">
        <v>67</v>
      </c>
      <c r="L19" s="10">
        <f>(Table1[[#This Row],[End_Date]]-Table1[[#This Row],[Start_Date]])/30</f>
        <v>14.533333333333333</v>
      </c>
      <c r="M19" s="7" t="str">
        <f>IF(Table1[[#This Row],[Referred_By]]="","NO","YES")</f>
        <v>NO</v>
      </c>
      <c r="N19" s="6">
        <f>Table1[[#This Row],[Monthly_Fee]]*Table1[[#This Row],[Membership_Duration_Months]]</f>
        <v>36333.333333333336</v>
      </c>
      <c r="O19" s="7" t="str">
        <f>IF(Table1[[#This Row],[Age]]&lt;=30,"YOUTH",IF(Table1[[#This Row],[Age]]&lt;=45,"ADULT","SENIOR"))</f>
        <v>SENIOR</v>
      </c>
    </row>
    <row r="20" spans="1:15" ht="14.4">
      <c r="A20" s="2" t="s">
        <v>68</v>
      </c>
      <c r="B20" s="2" t="s">
        <v>69</v>
      </c>
      <c r="C20" s="2">
        <v>27</v>
      </c>
      <c r="D20" s="2" t="s">
        <v>27</v>
      </c>
      <c r="E20" s="2" t="s">
        <v>13</v>
      </c>
      <c r="F20" s="3">
        <v>45354</v>
      </c>
      <c r="G20" s="3">
        <v>45664</v>
      </c>
      <c r="H20" s="2">
        <v>800</v>
      </c>
      <c r="I20" s="2">
        <v>26</v>
      </c>
      <c r="J20" s="2" t="s">
        <v>35</v>
      </c>
      <c r="L20" s="10">
        <f>(Table1[[#This Row],[End_Date]]-Table1[[#This Row],[Start_Date]])/30</f>
        <v>10.333333333333334</v>
      </c>
      <c r="M20" s="7" t="str">
        <f>IF(Table1[[#This Row],[Referred_By]]="","NO","YES")</f>
        <v>NO</v>
      </c>
      <c r="N20" s="6">
        <f>Table1[[#This Row],[Monthly_Fee]]*Table1[[#This Row],[Membership_Duration_Months]]</f>
        <v>8266.6666666666679</v>
      </c>
      <c r="O20" s="7" t="str">
        <f>IF(Table1[[#This Row],[Age]]&lt;=30,"YOUTH",IF(Table1[[#This Row],[Age]]&lt;=45,"ADULT","SENIOR"))</f>
        <v>YOUTH</v>
      </c>
    </row>
    <row r="21" spans="1:15" ht="15.75" customHeight="1">
      <c r="A21" s="2" t="s">
        <v>70</v>
      </c>
      <c r="B21" s="2" t="s">
        <v>71</v>
      </c>
      <c r="C21" s="2">
        <v>28</v>
      </c>
      <c r="D21" s="2" t="s">
        <v>12</v>
      </c>
      <c r="E21" s="2" t="s">
        <v>31</v>
      </c>
      <c r="F21" s="3">
        <v>45417</v>
      </c>
      <c r="G21" s="3">
        <v>45608</v>
      </c>
      <c r="H21" s="2">
        <v>2500</v>
      </c>
      <c r="I21" s="2">
        <v>21</v>
      </c>
      <c r="J21" s="2" t="s">
        <v>35</v>
      </c>
      <c r="K21" s="2" t="s">
        <v>72</v>
      </c>
      <c r="L21" s="10">
        <f>(Table1[[#This Row],[End_Date]]-Table1[[#This Row],[Start_Date]])/30</f>
        <v>6.3666666666666663</v>
      </c>
      <c r="M21" s="7" t="str">
        <f>IF(Table1[[#This Row],[Referred_By]]="","NO","YES")</f>
        <v>YES</v>
      </c>
      <c r="N21" s="6">
        <f>Table1[[#This Row],[Monthly_Fee]]*Table1[[#This Row],[Membership_Duration_Months]]</f>
        <v>15916.666666666666</v>
      </c>
      <c r="O21" s="7" t="str">
        <f>IF(Table1[[#This Row],[Age]]&lt;=30,"YOUTH",IF(Table1[[#This Row],[Age]]&lt;=45,"ADULT","SENIOR"))</f>
        <v>YOUTH</v>
      </c>
    </row>
    <row r="22" spans="1:15" ht="15.75" customHeight="1">
      <c r="A22" s="2" t="s">
        <v>73</v>
      </c>
      <c r="B22" s="2" t="s">
        <v>74</v>
      </c>
      <c r="C22" s="2">
        <v>57</v>
      </c>
      <c r="D22" s="2" t="s">
        <v>27</v>
      </c>
      <c r="E22" s="2" t="s">
        <v>41</v>
      </c>
      <c r="F22" s="3">
        <v>45146</v>
      </c>
      <c r="G22" s="3">
        <v>45674</v>
      </c>
      <c r="H22" s="2">
        <v>1800</v>
      </c>
      <c r="I22" s="2">
        <v>19</v>
      </c>
      <c r="J22" s="2" t="s">
        <v>35</v>
      </c>
      <c r="L22" s="10">
        <f>(Table1[[#This Row],[End_Date]]-Table1[[#This Row],[Start_Date]])/30</f>
        <v>17.600000000000001</v>
      </c>
      <c r="M22" s="7" t="str">
        <f>IF(Table1[[#This Row],[Referred_By]]="","NO","YES")</f>
        <v>NO</v>
      </c>
      <c r="N22" s="6">
        <f>Table1[[#This Row],[Monthly_Fee]]*Table1[[#This Row],[Membership_Duration_Months]]</f>
        <v>31680.000000000004</v>
      </c>
      <c r="O22" s="7" t="str">
        <f>IF(Table1[[#This Row],[Age]]&lt;=30,"YOUTH",IF(Table1[[#This Row],[Age]]&lt;=45,"ADULT","SENIOR"))</f>
        <v>SENIOR</v>
      </c>
    </row>
    <row r="23" spans="1:15" ht="15.75" customHeight="1">
      <c r="A23" s="2" t="s">
        <v>75</v>
      </c>
      <c r="B23" s="2" t="s">
        <v>76</v>
      </c>
      <c r="C23" s="2">
        <v>26</v>
      </c>
      <c r="D23" s="2" t="s">
        <v>27</v>
      </c>
      <c r="E23" s="2" t="s">
        <v>41</v>
      </c>
      <c r="F23" s="3">
        <v>45320</v>
      </c>
      <c r="G23" s="3">
        <v>45616</v>
      </c>
      <c r="H23" s="2">
        <v>1800</v>
      </c>
      <c r="I23" s="2">
        <v>5</v>
      </c>
      <c r="J23" s="2" t="s">
        <v>14</v>
      </c>
      <c r="L23" s="10">
        <f>(Table1[[#This Row],[End_Date]]-Table1[[#This Row],[Start_Date]])/30</f>
        <v>9.8666666666666671</v>
      </c>
      <c r="M23" s="7" t="str">
        <f>IF(Table1[[#This Row],[Referred_By]]="","NO","YES")</f>
        <v>NO</v>
      </c>
      <c r="N23" s="6">
        <f>Table1[[#This Row],[Monthly_Fee]]*Table1[[#This Row],[Membership_Duration_Months]]</f>
        <v>17760</v>
      </c>
      <c r="O23" s="7" t="str">
        <f>IF(Table1[[#This Row],[Age]]&lt;=30,"YOUTH",IF(Table1[[#This Row],[Age]]&lt;=45,"ADULT","SENIOR"))</f>
        <v>YOUTH</v>
      </c>
    </row>
    <row r="24" spans="1:15" ht="15.75" customHeight="1">
      <c r="A24" s="2" t="s">
        <v>77</v>
      </c>
      <c r="B24" s="2" t="s">
        <v>78</v>
      </c>
      <c r="C24" s="2">
        <v>48</v>
      </c>
      <c r="D24" s="2" t="s">
        <v>12</v>
      </c>
      <c r="E24" s="2" t="s">
        <v>41</v>
      </c>
      <c r="F24" s="3">
        <v>45451</v>
      </c>
      <c r="G24" s="3">
        <v>45455</v>
      </c>
      <c r="H24" s="2">
        <v>1800</v>
      </c>
      <c r="I24" s="2">
        <v>18</v>
      </c>
      <c r="J24" s="2" t="s">
        <v>67</v>
      </c>
      <c r="L24" s="10">
        <f>(Table1[[#This Row],[End_Date]]-Table1[[#This Row],[Start_Date]])/30</f>
        <v>0.13333333333333333</v>
      </c>
      <c r="M24" s="7" t="str">
        <f>IF(Table1[[#This Row],[Referred_By]]="","NO","YES")</f>
        <v>NO</v>
      </c>
      <c r="N24" s="6">
        <f>Table1[[#This Row],[Monthly_Fee]]*Table1[[#This Row],[Membership_Duration_Months]]</f>
        <v>240</v>
      </c>
      <c r="O24" s="7" t="str">
        <f>IF(Table1[[#This Row],[Age]]&lt;=30,"YOUTH",IF(Table1[[#This Row],[Age]]&lt;=45,"ADULT","SENIOR"))</f>
        <v>SENIOR</v>
      </c>
    </row>
    <row r="25" spans="1:15" ht="15.75" customHeight="1">
      <c r="A25" s="2" t="s">
        <v>79</v>
      </c>
      <c r="B25" s="2" t="s">
        <v>80</v>
      </c>
      <c r="C25" s="2">
        <v>25</v>
      </c>
      <c r="D25" s="2" t="s">
        <v>27</v>
      </c>
      <c r="E25" s="2" t="s">
        <v>22</v>
      </c>
      <c r="F25" s="3">
        <v>45439</v>
      </c>
      <c r="G25" s="3">
        <v>45730</v>
      </c>
      <c r="H25" s="2">
        <v>1200</v>
      </c>
      <c r="I25" s="2">
        <v>6</v>
      </c>
      <c r="J25" s="2" t="s">
        <v>14</v>
      </c>
      <c r="L25" s="10">
        <f>(Table1[[#This Row],[End_Date]]-Table1[[#This Row],[Start_Date]])/30</f>
        <v>9.6999999999999993</v>
      </c>
      <c r="M25" s="7" t="str">
        <f>IF(Table1[[#This Row],[Referred_By]]="","NO","YES")</f>
        <v>NO</v>
      </c>
      <c r="N25" s="6">
        <f>Table1[[#This Row],[Monthly_Fee]]*Table1[[#This Row],[Membership_Duration_Months]]</f>
        <v>11640</v>
      </c>
      <c r="O25" s="7" t="str">
        <f>IF(Table1[[#This Row],[Age]]&lt;=30,"YOUTH",IF(Table1[[#This Row],[Age]]&lt;=45,"ADULT","SENIOR"))</f>
        <v>YOUTH</v>
      </c>
    </row>
    <row r="26" spans="1:15" ht="15.75" customHeight="1">
      <c r="A26" s="2" t="s">
        <v>81</v>
      </c>
      <c r="B26" s="2" t="s">
        <v>82</v>
      </c>
      <c r="C26" s="2">
        <v>53</v>
      </c>
      <c r="D26" s="2" t="s">
        <v>12</v>
      </c>
      <c r="E26" s="2" t="s">
        <v>41</v>
      </c>
      <c r="F26" s="3">
        <v>45286</v>
      </c>
      <c r="G26" s="3">
        <v>45372</v>
      </c>
      <c r="H26" s="2">
        <v>1800</v>
      </c>
      <c r="I26" s="2">
        <v>17</v>
      </c>
      <c r="J26" s="2" t="s">
        <v>35</v>
      </c>
      <c r="K26" s="2" t="s">
        <v>83</v>
      </c>
      <c r="L26" s="10">
        <f>(Table1[[#This Row],[End_Date]]-Table1[[#This Row],[Start_Date]])/30</f>
        <v>2.8666666666666667</v>
      </c>
      <c r="M26" s="7" t="str">
        <f>IF(Table1[[#This Row],[Referred_By]]="","NO","YES")</f>
        <v>YES</v>
      </c>
      <c r="N26" s="6">
        <f>Table1[[#This Row],[Monthly_Fee]]*Table1[[#This Row],[Membership_Duration_Months]]</f>
        <v>5160</v>
      </c>
      <c r="O26" s="7" t="str">
        <f>IF(Table1[[#This Row],[Age]]&lt;=30,"YOUTH",IF(Table1[[#This Row],[Age]]&lt;=45,"ADULT","SENIOR"))</f>
        <v>SENIOR</v>
      </c>
    </row>
    <row r="27" spans="1:15" ht="15.75" customHeight="1">
      <c r="A27" s="2" t="s">
        <v>84</v>
      </c>
      <c r="B27" s="2" t="s">
        <v>85</v>
      </c>
      <c r="C27" s="2">
        <v>42</v>
      </c>
      <c r="D27" s="2" t="s">
        <v>27</v>
      </c>
      <c r="E27" s="2" t="s">
        <v>22</v>
      </c>
      <c r="F27" s="3">
        <v>45702</v>
      </c>
      <c r="G27" s="3">
        <v>45727</v>
      </c>
      <c r="H27" s="2">
        <v>1200</v>
      </c>
      <c r="I27" s="2">
        <v>3</v>
      </c>
      <c r="J27" s="2" t="s">
        <v>67</v>
      </c>
      <c r="L27" s="10">
        <f>(Table1[[#This Row],[End_Date]]-Table1[[#This Row],[Start_Date]])/30</f>
        <v>0.83333333333333337</v>
      </c>
      <c r="M27" s="7" t="str">
        <f>IF(Table1[[#This Row],[Referred_By]]="","NO","YES")</f>
        <v>NO</v>
      </c>
      <c r="N27" s="6">
        <f>Table1[[#This Row],[Monthly_Fee]]*Table1[[#This Row],[Membership_Duration_Months]]</f>
        <v>1000</v>
      </c>
      <c r="O27" s="7" t="str">
        <f>IF(Table1[[#This Row],[Age]]&lt;=30,"YOUTH",IF(Table1[[#This Row],[Age]]&lt;=45,"ADULT","SENIOR"))</f>
        <v>ADULT</v>
      </c>
    </row>
    <row r="28" spans="1:15" ht="15.75" customHeight="1">
      <c r="A28" s="2" t="s">
        <v>86</v>
      </c>
      <c r="B28" s="2" t="s">
        <v>87</v>
      </c>
      <c r="C28" s="2">
        <v>24</v>
      </c>
      <c r="D28" s="2" t="s">
        <v>12</v>
      </c>
      <c r="E28" s="2" t="s">
        <v>31</v>
      </c>
      <c r="F28" s="3">
        <v>45698</v>
      </c>
      <c r="G28" s="3">
        <v>45726</v>
      </c>
      <c r="H28" s="2">
        <v>2500</v>
      </c>
      <c r="I28" s="2">
        <v>28</v>
      </c>
      <c r="J28" s="2" t="s">
        <v>35</v>
      </c>
      <c r="L28" s="10">
        <f>(Table1[[#This Row],[End_Date]]-Table1[[#This Row],[Start_Date]])/30</f>
        <v>0.93333333333333335</v>
      </c>
      <c r="M28" s="7" t="str">
        <f>IF(Table1[[#This Row],[Referred_By]]="","NO","YES")</f>
        <v>NO</v>
      </c>
      <c r="N28" s="6">
        <f>Table1[[#This Row],[Monthly_Fee]]*Table1[[#This Row],[Membership_Duration_Months]]</f>
        <v>2333.3333333333335</v>
      </c>
      <c r="O28" s="7" t="str">
        <f>IF(Table1[[#This Row],[Age]]&lt;=30,"YOUTH",IF(Table1[[#This Row],[Age]]&lt;=45,"ADULT","SENIOR"))</f>
        <v>YOUTH</v>
      </c>
    </row>
    <row r="29" spans="1:15" ht="15.75" customHeight="1">
      <c r="A29" s="2" t="s">
        <v>88</v>
      </c>
      <c r="B29" s="2" t="s">
        <v>89</v>
      </c>
      <c r="C29" s="2">
        <v>53</v>
      </c>
      <c r="D29" s="2" t="s">
        <v>12</v>
      </c>
      <c r="E29" s="2" t="s">
        <v>22</v>
      </c>
      <c r="F29" s="3">
        <v>45614</v>
      </c>
      <c r="G29" s="3">
        <v>45645</v>
      </c>
      <c r="H29" s="2">
        <v>1200</v>
      </c>
      <c r="I29" s="2">
        <v>23</v>
      </c>
      <c r="J29" s="2" t="s">
        <v>18</v>
      </c>
      <c r="L29" s="10">
        <f>(Table1[[#This Row],[End_Date]]-Table1[[#This Row],[Start_Date]])/30</f>
        <v>1.0333333333333334</v>
      </c>
      <c r="M29" s="7" t="str">
        <f>IF(Table1[[#This Row],[Referred_By]]="","NO","YES")</f>
        <v>NO</v>
      </c>
      <c r="N29" s="6">
        <f>Table1[[#This Row],[Monthly_Fee]]*Table1[[#This Row],[Membership_Duration_Months]]</f>
        <v>1240.0000000000002</v>
      </c>
      <c r="O29" s="7" t="str">
        <f>IF(Table1[[#This Row],[Age]]&lt;=30,"YOUTH",IF(Table1[[#This Row],[Age]]&lt;=45,"ADULT","SENIOR"))</f>
        <v>SENIOR</v>
      </c>
    </row>
    <row r="30" spans="1:15" ht="15.75" customHeight="1">
      <c r="A30" s="2" t="s">
        <v>90</v>
      </c>
      <c r="B30" s="2" t="s">
        <v>91</v>
      </c>
      <c r="C30" s="2">
        <v>29</v>
      </c>
      <c r="D30" s="2" t="s">
        <v>27</v>
      </c>
      <c r="E30" s="2" t="s">
        <v>31</v>
      </c>
      <c r="F30" s="3">
        <v>45401</v>
      </c>
      <c r="G30" s="3">
        <v>45408</v>
      </c>
      <c r="H30" s="2">
        <v>2500</v>
      </c>
      <c r="I30" s="2">
        <v>8</v>
      </c>
      <c r="J30" s="2" t="s">
        <v>23</v>
      </c>
      <c r="L30" s="10">
        <f>(Table1[[#This Row],[End_Date]]-Table1[[#This Row],[Start_Date]])/30</f>
        <v>0.23333333333333334</v>
      </c>
      <c r="M30" s="7" t="str">
        <f>IF(Table1[[#This Row],[Referred_By]]="","NO","YES")</f>
        <v>NO</v>
      </c>
      <c r="N30" s="6">
        <f>Table1[[#This Row],[Monthly_Fee]]*Table1[[#This Row],[Membership_Duration_Months]]</f>
        <v>583.33333333333337</v>
      </c>
      <c r="O30" s="7" t="str">
        <f>IF(Table1[[#This Row],[Age]]&lt;=30,"YOUTH",IF(Table1[[#This Row],[Age]]&lt;=45,"ADULT","SENIOR"))</f>
        <v>YOUTH</v>
      </c>
    </row>
    <row r="31" spans="1:15" ht="15.75" customHeight="1">
      <c r="A31" s="2" t="s">
        <v>92</v>
      </c>
      <c r="B31" s="2" t="s">
        <v>93</v>
      </c>
      <c r="C31" s="2">
        <v>31</v>
      </c>
      <c r="D31" s="2" t="s">
        <v>27</v>
      </c>
      <c r="E31" s="2" t="s">
        <v>31</v>
      </c>
      <c r="F31" s="3">
        <v>45667</v>
      </c>
      <c r="G31" s="3">
        <v>45745</v>
      </c>
      <c r="H31" s="2">
        <v>2500</v>
      </c>
      <c r="I31" s="2">
        <v>23</v>
      </c>
      <c r="J31" s="2" t="s">
        <v>42</v>
      </c>
      <c r="K31" s="2" t="s">
        <v>94</v>
      </c>
      <c r="L31" s="10">
        <f>(Table1[[#This Row],[End_Date]]-Table1[[#This Row],[Start_Date]])/30</f>
        <v>2.6</v>
      </c>
      <c r="M31" s="7" t="str">
        <f>IF(Table1[[#This Row],[Referred_By]]="","NO","YES")</f>
        <v>YES</v>
      </c>
      <c r="N31" s="6">
        <f>Table1[[#This Row],[Monthly_Fee]]*Table1[[#This Row],[Membership_Duration_Months]]</f>
        <v>6500</v>
      </c>
      <c r="O31" s="7" t="str">
        <f>IF(Table1[[#This Row],[Age]]&lt;=30,"YOUTH",IF(Table1[[#This Row],[Age]]&lt;=45,"ADULT","SENIOR"))</f>
        <v>ADULT</v>
      </c>
    </row>
    <row r="32" spans="1:15" ht="15.75" customHeight="1">
      <c r="A32" s="2" t="s">
        <v>95</v>
      </c>
      <c r="B32" s="2" t="s">
        <v>96</v>
      </c>
      <c r="C32" s="2">
        <v>52</v>
      </c>
      <c r="D32" s="2" t="s">
        <v>27</v>
      </c>
      <c r="E32" s="2" t="s">
        <v>13</v>
      </c>
      <c r="F32" s="3">
        <v>45088</v>
      </c>
      <c r="G32" s="3">
        <v>45656</v>
      </c>
      <c r="H32" s="2">
        <v>800</v>
      </c>
      <c r="I32" s="2">
        <v>9</v>
      </c>
      <c r="J32" s="2" t="s">
        <v>67</v>
      </c>
      <c r="K32" s="2" t="s">
        <v>97</v>
      </c>
      <c r="L32" s="10">
        <f>(Table1[[#This Row],[End_Date]]-Table1[[#This Row],[Start_Date]])/30</f>
        <v>18.933333333333334</v>
      </c>
      <c r="M32" s="7" t="str">
        <f>IF(Table1[[#This Row],[Referred_By]]="","NO","YES")</f>
        <v>YES</v>
      </c>
      <c r="N32" s="6">
        <f>Table1[[#This Row],[Monthly_Fee]]*Table1[[#This Row],[Membership_Duration_Months]]</f>
        <v>15146.666666666666</v>
      </c>
      <c r="O32" s="7" t="str">
        <f>IF(Table1[[#This Row],[Age]]&lt;=30,"YOUTH",IF(Table1[[#This Row],[Age]]&lt;=45,"ADULT","SENIOR"))</f>
        <v>SENIOR</v>
      </c>
    </row>
    <row r="33" spans="1:15" ht="15.75" customHeight="1">
      <c r="A33" s="2" t="s">
        <v>98</v>
      </c>
      <c r="B33" s="2" t="s">
        <v>99</v>
      </c>
      <c r="C33" s="2">
        <v>20</v>
      </c>
      <c r="D33" s="2" t="s">
        <v>12</v>
      </c>
      <c r="E33" s="2" t="s">
        <v>22</v>
      </c>
      <c r="F33" s="3">
        <v>45391</v>
      </c>
      <c r="G33" s="3">
        <v>45604</v>
      </c>
      <c r="H33" s="2">
        <v>1200</v>
      </c>
      <c r="I33" s="2">
        <v>2</v>
      </c>
      <c r="J33" s="2" t="s">
        <v>35</v>
      </c>
      <c r="L33" s="10">
        <f>(Table1[[#This Row],[End_Date]]-Table1[[#This Row],[Start_Date]])/30</f>
        <v>7.1</v>
      </c>
      <c r="M33" s="7" t="str">
        <f>IF(Table1[[#This Row],[Referred_By]]="","NO","YES")</f>
        <v>NO</v>
      </c>
      <c r="N33" s="6">
        <f>Table1[[#This Row],[Monthly_Fee]]*Table1[[#This Row],[Membership_Duration_Months]]</f>
        <v>8520</v>
      </c>
      <c r="O33" s="7" t="str">
        <f>IF(Table1[[#This Row],[Age]]&lt;=30,"YOUTH",IF(Table1[[#This Row],[Age]]&lt;=45,"ADULT","SENIOR"))</f>
        <v>YOUTH</v>
      </c>
    </row>
    <row r="34" spans="1:15" ht="15.75" customHeight="1">
      <c r="A34" s="2" t="s">
        <v>100</v>
      </c>
      <c r="B34" s="2" t="s">
        <v>101</v>
      </c>
      <c r="C34" s="2">
        <v>22</v>
      </c>
      <c r="D34" s="2" t="s">
        <v>12</v>
      </c>
      <c r="E34" s="2" t="s">
        <v>13</v>
      </c>
      <c r="F34" s="3">
        <v>45699</v>
      </c>
      <c r="G34" s="3">
        <v>45740</v>
      </c>
      <c r="H34" s="2">
        <v>800</v>
      </c>
      <c r="I34" s="2">
        <v>30</v>
      </c>
      <c r="J34" s="2" t="s">
        <v>35</v>
      </c>
      <c r="L34" s="10">
        <f>(Table1[[#This Row],[End_Date]]-Table1[[#This Row],[Start_Date]])/30</f>
        <v>1.3666666666666667</v>
      </c>
      <c r="M34" s="7" t="str">
        <f>IF(Table1[[#This Row],[Referred_By]]="","NO","YES")</f>
        <v>NO</v>
      </c>
      <c r="N34" s="6">
        <f>Table1[[#This Row],[Monthly_Fee]]*Table1[[#This Row],[Membership_Duration_Months]]</f>
        <v>1093.3333333333333</v>
      </c>
      <c r="O34" s="7" t="str">
        <f>IF(Table1[[#This Row],[Age]]&lt;=30,"YOUTH",IF(Table1[[#This Row],[Age]]&lt;=45,"ADULT","SENIOR"))</f>
        <v>YOUTH</v>
      </c>
    </row>
    <row r="35" spans="1:15" ht="15.75" customHeight="1">
      <c r="A35" s="2" t="s">
        <v>102</v>
      </c>
      <c r="B35" s="2" t="s">
        <v>103</v>
      </c>
      <c r="C35" s="2">
        <v>23</v>
      </c>
      <c r="D35" s="2" t="s">
        <v>12</v>
      </c>
      <c r="E35" s="2" t="s">
        <v>41</v>
      </c>
      <c r="F35" s="3">
        <v>45588</v>
      </c>
      <c r="G35" s="3">
        <v>45721</v>
      </c>
      <c r="H35" s="2">
        <v>1800</v>
      </c>
      <c r="I35" s="2">
        <v>23</v>
      </c>
      <c r="J35" s="2" t="s">
        <v>18</v>
      </c>
      <c r="K35" s="2" t="s">
        <v>104</v>
      </c>
      <c r="L35" s="10">
        <f>(Table1[[#This Row],[End_Date]]-Table1[[#This Row],[Start_Date]])/30</f>
        <v>4.4333333333333336</v>
      </c>
      <c r="M35" s="7" t="str">
        <f>IF(Table1[[#This Row],[Referred_By]]="","NO","YES")</f>
        <v>YES</v>
      </c>
      <c r="N35" s="6">
        <f>Table1[[#This Row],[Monthly_Fee]]*Table1[[#This Row],[Membership_Duration_Months]]</f>
        <v>7980</v>
      </c>
      <c r="O35" s="7" t="str">
        <f>IF(Table1[[#This Row],[Age]]&lt;=30,"YOUTH",IF(Table1[[#This Row],[Age]]&lt;=45,"ADULT","SENIOR"))</f>
        <v>YOUTH</v>
      </c>
    </row>
    <row r="36" spans="1:15" ht="15.75" customHeight="1">
      <c r="A36" s="2" t="s">
        <v>105</v>
      </c>
      <c r="B36" s="2" t="s">
        <v>106</v>
      </c>
      <c r="C36" s="2">
        <v>27</v>
      </c>
      <c r="D36" s="2" t="s">
        <v>27</v>
      </c>
      <c r="E36" s="2" t="s">
        <v>22</v>
      </c>
      <c r="F36" s="3">
        <v>45312</v>
      </c>
      <c r="G36" s="3">
        <v>45652</v>
      </c>
      <c r="H36" s="2">
        <v>1200</v>
      </c>
      <c r="I36" s="2">
        <v>27</v>
      </c>
      <c r="J36" s="2" t="s">
        <v>18</v>
      </c>
      <c r="L36" s="10">
        <f>(Table1[[#This Row],[End_Date]]-Table1[[#This Row],[Start_Date]])/30</f>
        <v>11.333333333333334</v>
      </c>
      <c r="M36" s="7" t="str">
        <f>IF(Table1[[#This Row],[Referred_By]]="","NO","YES")</f>
        <v>NO</v>
      </c>
      <c r="N36" s="6">
        <f>Table1[[#This Row],[Monthly_Fee]]*Table1[[#This Row],[Membership_Duration_Months]]</f>
        <v>13600</v>
      </c>
      <c r="O36" s="7" t="str">
        <f>IF(Table1[[#This Row],[Age]]&lt;=30,"YOUTH",IF(Table1[[#This Row],[Age]]&lt;=45,"ADULT","SENIOR"))</f>
        <v>YOUTH</v>
      </c>
    </row>
    <row r="37" spans="1:15" ht="15.75" customHeight="1"/>
    <row r="38" spans="1:15" ht="15.75" customHeight="1"/>
    <row r="39" spans="1:15" ht="15.75" customHeight="1"/>
    <row r="40" spans="1:15" ht="15.75" customHeight="1"/>
    <row r="41" spans="1:15" ht="15.75" customHeight="1"/>
    <row r="42" spans="1:15" ht="15.75" customHeight="1"/>
    <row r="43" spans="1:15" ht="15.75" customHeight="1"/>
    <row r="44" spans="1:15" ht="15.75" customHeight="1"/>
    <row r="45" spans="1:15" ht="15.75" customHeight="1"/>
    <row r="46" spans="1:15" ht="15.75" customHeight="1"/>
    <row r="47" spans="1:15" ht="15.75" customHeight="1"/>
    <row r="48" spans="1: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6" type="noConversion"/>
  <conditionalFormatting sqref="K12">
    <cfRule type="expression" priority="1">
      <formula>AND($I2&lt;10,$L2&gt;=6)</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B190-075F-48F6-A787-F0DE0000C734}">
  <dimension ref="A3:B24"/>
  <sheetViews>
    <sheetView workbookViewId="0">
      <selection activeCell="C3" sqref="C3"/>
    </sheetView>
  </sheetViews>
  <sheetFormatPr defaultRowHeight="14.4"/>
  <cols>
    <col min="1" max="1" width="14.21875" bestFit="1" customWidth="1"/>
    <col min="2" max="2" width="20.21875" bestFit="1" customWidth="1"/>
    <col min="3" max="3" width="24.44140625" bestFit="1" customWidth="1"/>
  </cols>
  <sheetData>
    <row r="3" spans="1:2">
      <c r="A3" s="13" t="s">
        <v>112</v>
      </c>
      <c r="B3" t="s">
        <v>117</v>
      </c>
    </row>
    <row r="4" spans="1:2">
      <c r="A4" s="14" t="s">
        <v>41</v>
      </c>
      <c r="B4" s="17">
        <v>54840</v>
      </c>
    </row>
    <row r="5" spans="1:2">
      <c r="A5" s="15" t="s">
        <v>14</v>
      </c>
      <c r="B5" s="17">
        <v>17760</v>
      </c>
    </row>
    <row r="6" spans="1:2">
      <c r="A6" s="16" t="s">
        <v>115</v>
      </c>
      <c r="B6" s="17">
        <v>17760</v>
      </c>
    </row>
    <row r="7" spans="1:2">
      <c r="A7" s="15" t="s">
        <v>67</v>
      </c>
      <c r="B7" s="17">
        <v>240</v>
      </c>
    </row>
    <row r="8" spans="1:2">
      <c r="A8" s="16" t="s">
        <v>115</v>
      </c>
      <c r="B8" s="17">
        <v>240</v>
      </c>
    </row>
    <row r="9" spans="1:2">
      <c r="A9" s="15" t="s">
        <v>35</v>
      </c>
      <c r="B9" s="17">
        <v>36840</v>
      </c>
    </row>
    <row r="10" spans="1:2">
      <c r="A10" s="16" t="s">
        <v>115</v>
      </c>
      <c r="B10" s="17">
        <v>31680.000000000004</v>
      </c>
    </row>
    <row r="11" spans="1:2">
      <c r="A11" s="16" t="s">
        <v>114</v>
      </c>
      <c r="B11" s="17">
        <v>5160</v>
      </c>
    </row>
    <row r="12" spans="1:2">
      <c r="A12" s="14" t="s">
        <v>22</v>
      </c>
      <c r="B12" s="17">
        <v>63600</v>
      </c>
    </row>
    <row r="13" spans="1:2">
      <c r="A13" s="15" t="s">
        <v>14</v>
      </c>
      <c r="B13" s="17">
        <v>18120</v>
      </c>
    </row>
    <row r="14" spans="1:2">
      <c r="A14" s="16" t="s">
        <v>115</v>
      </c>
      <c r="B14" s="17">
        <v>11640</v>
      </c>
    </row>
    <row r="15" spans="1:2">
      <c r="A15" s="16" t="s">
        <v>114</v>
      </c>
      <c r="B15" s="17">
        <v>6480</v>
      </c>
    </row>
    <row r="16" spans="1:2">
      <c r="A16" s="15" t="s">
        <v>67</v>
      </c>
      <c r="B16" s="17">
        <v>1000</v>
      </c>
    </row>
    <row r="17" spans="1:2">
      <c r="A17" s="16" t="s">
        <v>115</v>
      </c>
      <c r="B17" s="17">
        <v>1000</v>
      </c>
    </row>
    <row r="18" spans="1:2">
      <c r="A18" s="15" t="s">
        <v>23</v>
      </c>
      <c r="B18" s="17">
        <v>25760</v>
      </c>
    </row>
    <row r="19" spans="1:2">
      <c r="A19" s="16" t="s">
        <v>115</v>
      </c>
      <c r="B19" s="17">
        <v>14240</v>
      </c>
    </row>
    <row r="20" spans="1:2">
      <c r="A20" s="16" t="s">
        <v>114</v>
      </c>
      <c r="B20" s="17">
        <v>11520</v>
      </c>
    </row>
    <row r="21" spans="1:2">
      <c r="A21" s="15" t="s">
        <v>35</v>
      </c>
      <c r="B21" s="17">
        <v>18720</v>
      </c>
    </row>
    <row r="22" spans="1:2">
      <c r="A22" s="16" t="s">
        <v>115</v>
      </c>
      <c r="B22" s="17">
        <v>15600</v>
      </c>
    </row>
    <row r="23" spans="1:2">
      <c r="A23" s="16" t="s">
        <v>114</v>
      </c>
      <c r="B23" s="17">
        <v>3120</v>
      </c>
    </row>
    <row r="24" spans="1:2">
      <c r="A24" s="14" t="s">
        <v>113</v>
      </c>
      <c r="B24" s="17">
        <v>118440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E4BB-4844-4B5C-A216-2040A8659AE1}">
  <dimension ref="A3:B20"/>
  <sheetViews>
    <sheetView workbookViewId="0">
      <selection activeCell="B7" sqref="B7"/>
    </sheetView>
  </sheetViews>
  <sheetFormatPr defaultRowHeight="14.4"/>
  <cols>
    <col min="1" max="1" width="17.5546875" bestFit="1" customWidth="1"/>
    <col min="2" max="2" width="22" bestFit="1" customWidth="1"/>
  </cols>
  <sheetData>
    <row r="3" spans="1:2">
      <c r="A3" s="13" t="s">
        <v>112</v>
      </c>
      <c r="B3" t="s">
        <v>118</v>
      </c>
    </row>
    <row r="4" spans="1:2">
      <c r="A4" s="14" t="s">
        <v>83</v>
      </c>
      <c r="B4" s="17">
        <v>1800</v>
      </c>
    </row>
    <row r="5" spans="1:2">
      <c r="A5" s="14" t="s">
        <v>97</v>
      </c>
      <c r="B5" s="17">
        <v>800</v>
      </c>
    </row>
    <row r="6" spans="1:2">
      <c r="A6" s="14" t="s">
        <v>15</v>
      </c>
      <c r="B6" s="17">
        <v>800</v>
      </c>
    </row>
    <row r="7" spans="1:2">
      <c r="A7" s="14" t="s">
        <v>54</v>
      </c>
      <c r="B7" s="17">
        <v>1200</v>
      </c>
    </row>
    <row r="8" spans="1:2">
      <c r="A8" s="14" t="s">
        <v>24</v>
      </c>
      <c r="B8" s="17">
        <v>1200</v>
      </c>
    </row>
    <row r="9" spans="1:2">
      <c r="A9" s="14" t="s">
        <v>19</v>
      </c>
      <c r="B9" s="17">
        <v>800</v>
      </c>
    </row>
    <row r="10" spans="1:2">
      <c r="A10" s="14" t="s">
        <v>32</v>
      </c>
      <c r="B10" s="17">
        <v>2500</v>
      </c>
    </row>
    <row r="11" spans="1:2">
      <c r="A11" s="14" t="s">
        <v>94</v>
      </c>
      <c r="B11" s="17">
        <v>2500</v>
      </c>
    </row>
    <row r="12" spans="1:2">
      <c r="A12" s="14" t="s">
        <v>45</v>
      </c>
      <c r="B12" s="17">
        <v>800</v>
      </c>
    </row>
    <row r="13" spans="1:2">
      <c r="A13" s="14" t="s">
        <v>48</v>
      </c>
      <c r="B13" s="17">
        <v>1200</v>
      </c>
    </row>
    <row r="14" spans="1:2">
      <c r="A14" s="14" t="s">
        <v>51</v>
      </c>
      <c r="B14" s="17">
        <v>1200</v>
      </c>
    </row>
    <row r="15" spans="1:2">
      <c r="A15" s="14" t="s">
        <v>104</v>
      </c>
      <c r="B15" s="17">
        <v>1800</v>
      </c>
    </row>
    <row r="16" spans="1:2">
      <c r="A16" s="14" t="s">
        <v>36</v>
      </c>
      <c r="B16" s="17">
        <v>800</v>
      </c>
    </row>
    <row r="17" spans="1:2">
      <c r="A17" s="14" t="s">
        <v>72</v>
      </c>
      <c r="B17" s="17">
        <v>2500</v>
      </c>
    </row>
    <row r="18" spans="1:2">
      <c r="A18" s="14" t="s">
        <v>28</v>
      </c>
      <c r="B18" s="17">
        <v>1200</v>
      </c>
    </row>
    <row r="19" spans="1:2">
      <c r="A19" s="14" t="s">
        <v>119</v>
      </c>
      <c r="B19" s="17">
        <v>1530</v>
      </c>
    </row>
    <row r="20" spans="1:2">
      <c r="A20" s="14" t="s">
        <v>113</v>
      </c>
      <c r="B20" s="17">
        <v>1477.1428571428571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88F6D-81B8-44D8-A64A-45512387B13C}">
  <dimension ref="A3:H9"/>
  <sheetViews>
    <sheetView workbookViewId="0">
      <selection activeCell="A3" sqref="A3"/>
    </sheetView>
  </sheetViews>
  <sheetFormatPr defaultRowHeight="14.4"/>
  <cols>
    <col min="1" max="1" width="20.21875" bestFit="1" customWidth="1"/>
    <col min="2" max="2" width="15.77734375" bestFit="1" customWidth="1"/>
    <col min="3" max="5" width="12" bestFit="1" customWidth="1"/>
    <col min="6" max="6" width="8.109375" bestFit="1" customWidth="1"/>
    <col min="7" max="8" width="12" bestFit="1" customWidth="1"/>
  </cols>
  <sheetData>
    <row r="3" spans="1:8">
      <c r="A3" s="13" t="s">
        <v>117</v>
      </c>
      <c r="B3" s="13" t="s">
        <v>116</v>
      </c>
    </row>
    <row r="4" spans="1:8">
      <c r="A4" s="13" t="s">
        <v>112</v>
      </c>
      <c r="B4" t="s">
        <v>14</v>
      </c>
      <c r="C4" t="s">
        <v>67</v>
      </c>
      <c r="D4" t="s">
        <v>23</v>
      </c>
      <c r="E4" t="s">
        <v>42</v>
      </c>
      <c r="F4" t="s">
        <v>35</v>
      </c>
      <c r="G4" t="s">
        <v>18</v>
      </c>
      <c r="H4" t="s">
        <v>113</v>
      </c>
    </row>
    <row r="5" spans="1:8">
      <c r="A5" s="14" t="s">
        <v>13</v>
      </c>
      <c r="B5" s="17">
        <v>5066.6666666666661</v>
      </c>
      <c r="C5" s="17">
        <v>15146.666666666666</v>
      </c>
      <c r="D5" s="17">
        <v>5520</v>
      </c>
      <c r="E5" s="17">
        <v>346.66666666666669</v>
      </c>
      <c r="F5" s="17">
        <v>11360.000000000002</v>
      </c>
      <c r="G5" s="17">
        <v>3066.666666666667</v>
      </c>
      <c r="H5" s="17">
        <v>40506.666666666664</v>
      </c>
    </row>
    <row r="6" spans="1:8">
      <c r="A6" s="14" t="s">
        <v>31</v>
      </c>
      <c r="B6" s="17">
        <v>17916.666666666668</v>
      </c>
      <c r="C6" s="17">
        <v>36333.333333333336</v>
      </c>
      <c r="D6" s="17">
        <v>583.33333333333337</v>
      </c>
      <c r="E6" s="17">
        <v>9000</v>
      </c>
      <c r="F6" s="17">
        <v>18250</v>
      </c>
      <c r="G6" s="17"/>
      <c r="H6" s="17">
        <v>82083.333333333343</v>
      </c>
    </row>
    <row r="7" spans="1:8">
      <c r="A7" s="14" t="s">
        <v>41</v>
      </c>
      <c r="B7" s="17">
        <v>17760</v>
      </c>
      <c r="C7" s="17">
        <v>240</v>
      </c>
      <c r="D7" s="17"/>
      <c r="E7" s="17">
        <v>11880</v>
      </c>
      <c r="F7" s="17">
        <v>36840</v>
      </c>
      <c r="G7" s="17">
        <v>7980</v>
      </c>
      <c r="H7" s="17">
        <v>74700</v>
      </c>
    </row>
    <row r="8" spans="1:8">
      <c r="A8" s="14" t="s">
        <v>22</v>
      </c>
      <c r="B8" s="17">
        <v>18120</v>
      </c>
      <c r="C8" s="17">
        <v>1000</v>
      </c>
      <c r="D8" s="17">
        <v>25760</v>
      </c>
      <c r="E8" s="17">
        <v>16560</v>
      </c>
      <c r="F8" s="17">
        <v>18720</v>
      </c>
      <c r="G8" s="17">
        <v>14840</v>
      </c>
      <c r="H8" s="17">
        <v>95000</v>
      </c>
    </row>
    <row r="9" spans="1:8">
      <c r="A9" s="14" t="s">
        <v>113</v>
      </c>
      <c r="B9" s="17">
        <v>58863.333333333336</v>
      </c>
      <c r="C9" s="17">
        <v>52720</v>
      </c>
      <c r="D9" s="17">
        <v>31863.333333333332</v>
      </c>
      <c r="E9" s="17">
        <v>37786.666666666664</v>
      </c>
      <c r="F9" s="17">
        <v>85170</v>
      </c>
      <c r="G9" s="17">
        <v>25886.666666666668</v>
      </c>
      <c r="H9" s="17">
        <v>292290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Sheet1</vt:lpstr>
      <vt:lpstr>Segment Profitability Dashboard</vt:lpstr>
      <vt:lpstr>Referral Impact</vt:lpstr>
      <vt:lpstr>Total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Patidar</dc:creator>
  <cp:lastModifiedBy>Piyush Patidar</cp:lastModifiedBy>
  <dcterms:created xsi:type="dcterms:W3CDTF">2025-04-06T20:54:03Z</dcterms:created>
  <dcterms:modified xsi:type="dcterms:W3CDTF">2025-10-01T19:04:27Z</dcterms:modified>
</cp:coreProperties>
</file>